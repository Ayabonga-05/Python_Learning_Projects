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_Master_Dataset" sheetId="1" state="visible" r:id="rId3"/>
    <sheet name="02_Data_Dictionary" sheetId="2" state="visible" r:id="rId4"/>
    <sheet name="03_Stage_Rules" sheetId="3" state="visible" r:id="rId5"/>
    <sheet name="04_Stage_Distribu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<sst xmlns="http://schemas.openxmlformats.org/spreadsheetml/2006/main" count="354" uniqueCount="221">
  <si>
    <t xml:space="preserve">SA GRID RISK — Master Weekly Dataset | Loadshedding Stage Classifier</t>
  </si>
  <si>
    <t xml:space="preserve">Week Ending</t>
  </si>
  <si>
    <t xml:space="preserve">EAF (%)</t>
  </si>
  <si>
    <t xml:space="preserve">UCLF (%)</t>
  </si>
  <si>
    <t xml:space="preserve">PCLF (%)</t>
  </si>
  <si>
    <t xml:space="preserve">OCLF (%)</t>
  </si>
  <si>
    <t xml:space="preserve">Peak Demand (MW)</t>
  </si>
  <si>
    <t xml:space="preserve">Avg Wind LF (%)</t>
  </si>
  <si>
    <t xml:space="preserve">RE Contribution (MW)</t>
  </si>
  <si>
    <t xml:space="preserve">OCGT Usage (GWh)</t>
  </si>
  <si>
    <t xml:space="preserve">Supply Gap (MW)</t>
  </si>
  <si>
    <t xml:space="preserve">RE Penetration (%)</t>
  </si>
  <si>
    <t xml:space="preserve">Grid Stress Index</t>
  </si>
  <si>
    <t xml:space="preserve">Season</t>
  </si>
  <si>
    <t xml:space="preserve">Stage (y)</t>
  </si>
  <si>
    <t xml:space="preserve">Date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</si>
  <si>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</si>
  <si>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</si>
  <si>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</si>
  <si>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</si>
  <si>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</si>
  <si>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</si>
  <si>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</si>
  <si>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</si>
  <si>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 Engineered</t>
  </si>
  <si>
    <t xml:space="preserve">X10 Engineered</t>
  </si>
  <si>
    <t xml:space="preserve">X11 Engineered</t>
  </si>
  <si>
    <t xml:space="preserve">X12</t>
  </si>
  <si>
    <t xml:space="preserve">TARGET</t>
  </si>
  <si>
    <t xml:space="preserve">30-Mar-26</t>
  </si>
  <si>
    <t xml:space="preserve">AUTUMN</t>
  </si>
  <si>
    <t xml:space="preserve">06-Apr-26</t>
  </si>
  <si>
    <t xml:space="preserve">13-Apr-26</t>
  </si>
  <si>
    <t xml:space="preserve">20-Apr-26</t>
  </si>
  <si>
    <t xml:space="preserve">27-Apr-26</t>
  </si>
  <si>
    <t xml:space="preserve">04-May-26</t>
  </si>
  <si>
    <t xml:space="preserve">11-May-26</t>
  </si>
  <si>
    <t xml:space="preserve">18-May-26</t>
  </si>
  <si>
    <t xml:space="preserve">25-May-26</t>
  </si>
  <si>
    <t xml:space="preserve">01-Jun-26</t>
  </si>
  <si>
    <t xml:space="preserve">WINTER</t>
  </si>
  <si>
    <t xml:space="preserve">08-Jun-26</t>
  </si>
  <si>
    <t xml:space="preserve">15-Jun-26</t>
  </si>
  <si>
    <t xml:space="preserve">22-Jun-26</t>
  </si>
  <si>
    <t xml:space="preserve">30-Mar-25</t>
  </si>
  <si>
    <t xml:space="preserve">06-Apr-25</t>
  </si>
  <si>
    <t xml:space="preserve">13-Apr-25</t>
  </si>
  <si>
    <t xml:space="preserve">20-Apr-25</t>
  </si>
  <si>
    <t xml:space="preserve">27-Apr-25</t>
  </si>
  <si>
    <t xml:space="preserve">04-May-25</t>
  </si>
  <si>
    <t xml:space="preserve">11-May-25</t>
  </si>
  <si>
    <t xml:space="preserve">18-May-25</t>
  </si>
  <si>
    <t xml:space="preserve">25-May-25</t>
  </si>
  <si>
    <t xml:space="preserve">01-Jun-25</t>
  </si>
  <si>
    <t xml:space="preserve">08-Jun-25</t>
  </si>
  <si>
    <t xml:space="preserve">15-Jun-25</t>
  </si>
  <si>
    <t xml:space="preserve">22-Jun-25</t>
  </si>
  <si>
    <t xml:space="preserve">29-Jun-25</t>
  </si>
  <si>
    <t xml:space="preserve">06-Jul-25</t>
  </si>
  <si>
    <t xml:space="preserve">13-Jul-25</t>
  </si>
  <si>
    <t xml:space="preserve">20-Jul-25</t>
  </si>
  <si>
    <t xml:space="preserve">27-Jul-25</t>
  </si>
  <si>
    <t xml:space="preserve">03-Aug-25</t>
  </si>
  <si>
    <t xml:space="preserve">10-Aug-25</t>
  </si>
  <si>
    <t xml:space="preserve">17-Aug-25</t>
  </si>
  <si>
    <t xml:space="preserve">24-Aug-25</t>
  </si>
  <si>
    <t xml:space="preserve">31-Aug-25</t>
  </si>
  <si>
    <t xml:space="preserve">SPRING</t>
  </si>
  <si>
    <t xml:space="preserve">07-Sep-25</t>
  </si>
  <si>
    <t xml:space="preserve">14-Sep-25</t>
  </si>
  <si>
    <t xml:space="preserve">21-Sep-25</t>
  </si>
  <si>
    <t xml:space="preserve">28-Sep-25</t>
  </si>
  <si>
    <t xml:space="preserve">05-Oct-25</t>
  </si>
  <si>
    <t xml:space="preserve">12-Oct-25</t>
  </si>
  <si>
    <t xml:space="preserve">19-Oct-25</t>
  </si>
  <si>
    <t xml:space="preserve">26-Oct-25</t>
  </si>
  <si>
    <t xml:space="preserve">02-Nov-25</t>
  </si>
  <si>
    <t xml:space="preserve">SUMMER</t>
  </si>
  <si>
    <t xml:space="preserve">09-Nov-25</t>
  </si>
  <si>
    <t xml:space="preserve">16-Nov-25</t>
  </si>
  <si>
    <t xml:space="preserve">23-Nov-25</t>
  </si>
  <si>
    <t xml:space="preserve">30-Nov-25</t>
  </si>
  <si>
    <t xml:space="preserve">07-Dec-25</t>
  </si>
  <si>
    <t xml:space="preserve">14-Dec-25</t>
  </si>
  <si>
    <t xml:space="preserve">21-Dec-25</t>
  </si>
  <si>
    <t xml:space="preserve">28-Dec-25</t>
  </si>
  <si>
    <t xml:space="preserve">04-Jan-26</t>
  </si>
  <si>
    <t xml:space="preserve">11-Jan-26</t>
  </si>
  <si>
    <t xml:space="preserve">18-Jan-26</t>
  </si>
  <si>
    <t xml:space="preserve">25-Jan-26</t>
  </si>
  <si>
    <t xml:space="preserve">01-Feb-26</t>
  </si>
  <si>
    <t xml:space="preserve">08-Feb-26</t>
  </si>
  <si>
    <t xml:space="preserve">15-Feb-26</t>
  </si>
  <si>
    <t xml:space="preserve">22-Feb-26</t>
  </si>
  <si>
    <t xml:space="preserve">01-Mar-26</t>
  </si>
  <si>
    <t xml:space="preserve">08-Mar-26</t>
  </si>
  <si>
    <t xml:space="preserve">15-Mar-26</t>
  </si>
  <si>
    <t xml:space="preserve">22-Mar-26</t>
  </si>
  <si>
    <t xml:space="preserve">DATA DICTIONARY — Every Column Explained</t>
  </si>
  <si>
    <t xml:space="preserve">Column</t>
  </si>
  <si>
    <t xml:space="preserve">Abbr</t>
  </si>
  <si>
    <t xml:space="preserve">Type</t>
  </si>
  <si>
    <t xml:space="preserve">Unit</t>
  </si>
  <si>
    <t xml:space="preserve">Source</t>
  </si>
  <si>
    <t xml:space="preserve">Model Role</t>
  </si>
  <si>
    <t xml:space="preserve">How Created</t>
  </si>
  <si>
    <t xml:space="preserve">—</t>
  </si>
  <si>
    <t xml:space="preserve">Outage Weekly CSV</t>
  </si>
  <si>
    <t xml:space="preserve">Index — not a feature</t>
  </si>
  <si>
    <t xml:space="preserve">From Drive data</t>
  </si>
  <si>
    <t xml:space="preserve">EAF</t>
  </si>
  <si>
    <t xml:space="preserve">Feature</t>
  </si>
  <si>
    <t xml:space="preserve">%</t>
  </si>
  <si>
    <t xml:space="preserve">Outage CSV</t>
  </si>
  <si>
    <t xml:space="preserve">Primary — grid health</t>
  </si>
  <si>
    <t xml:space="preserve">UCLF</t>
  </si>
  <si>
    <t xml:space="preserve">Primary — breakdown severity</t>
  </si>
  <si>
    <t xml:space="preserve">PCLF</t>
  </si>
  <si>
    <t xml:space="preserve">Supporting — planned maint.</t>
  </si>
  <si>
    <t xml:space="preserve">OCLF</t>
  </si>
  <si>
    <t xml:space="preserve">Minor — opportunistic maint.</t>
  </si>
  <si>
    <t xml:space="preserve">Peak Demand</t>
  </si>
  <si>
    <t xml:space="preserve">MW</t>
  </si>
  <si>
    <t xml:space="preserve">Demand Hourly CSV</t>
  </si>
  <si>
    <t xml:space="preserve">Primary — grid pressure</t>
  </si>
  <si>
    <t xml:space="preserve">Weekly peak from hourly</t>
  </si>
  <si>
    <t xml:space="preserve">Avg Wind LF</t>
  </si>
  <si>
    <t xml:space="preserve">RE Wind LF CSV</t>
  </si>
  <si>
    <t xml:space="preserve">RE availability proxy</t>
  </si>
  <si>
    <t xml:space="preserve">RE Contribution</t>
  </si>
  <si>
    <t xml:space="preserve">RE Hourly CSV</t>
  </si>
  <si>
    <t xml:space="preserve">Supply-side RE support</t>
  </si>
  <si>
    <t xml:space="preserve">Weekly avg from hourly</t>
  </si>
  <si>
    <t xml:space="preserve">OCGT Usage</t>
  </si>
  <si>
    <t xml:space="preserve">GWh</t>
  </si>
  <si>
    <t xml:space="preserve">OCGT Monthly CSV</t>
  </si>
  <si>
    <t xml:space="preserve">Emergency stress indicator</t>
  </si>
  <si>
    <t xml:space="preserve">Monthly to weekly</t>
  </si>
  <si>
    <t xml:space="preserve">Supply Gap</t>
  </si>
  <si>
    <t xml:space="preserve">X9</t>
  </si>
  <si>
    <t xml:space="preserve">Engineered</t>
  </si>
  <si>
    <t xml:space="preserve">Coal pressure indicator</t>
  </si>
  <si>
    <t xml:space="preserve">Formula: Demand minus RE Contribution</t>
  </si>
  <si>
    <t xml:space="preserve">RE Penetration</t>
  </si>
  <si>
    <t xml:space="preserve">X10</t>
  </si>
  <si>
    <t xml:space="preserve">RE share of demand</t>
  </si>
  <si>
    <t xml:space="preserve">Formula: RE Contribution divided by Demand, times 100</t>
  </si>
  <si>
    <t xml:space="preserve">X11</t>
  </si>
  <si>
    <t xml:space="preserve">Index</t>
  </si>
  <si>
    <t xml:space="preserve">Composite risk score</t>
  </si>
  <si>
    <t xml:space="preserve">Formula: UCLF*0.4 + (1-EAF/100)*30 + OCGT/50</t>
  </si>
  <si>
    <t xml:space="preserve">Category</t>
  </si>
  <si>
    <t xml:space="preserve">Date-derived</t>
  </si>
  <si>
    <t xml:space="preserve">Seasonal pattern</t>
  </si>
  <si>
    <t xml:space="preserve">From month of week-ending</t>
  </si>
  <si>
    <t xml:space="preserve">Stage</t>
  </si>
  <si>
    <t xml:space="preserve">y</t>
  </si>
  <si>
    <t xml:space="preserve">Class 0–6</t>
  </si>
  <si>
    <t xml:space="preserve">Rule-derived</t>
  </si>
  <si>
    <t xml:space="preserve">What the model predicts</t>
  </si>
  <si>
    <t xml:space="preserve">EAF+UCLF+OCGT thresholds (Sheet 3)</t>
  </si>
  <si>
    <t xml:space="preserve">STAGE DERIVATION RULES — How Each Stage Was Assigned</t>
  </si>
  <si>
    <t xml:space="preserve">Rules checked top-down. First match wins. Based on Eskom operational thresholds and OCGT dispatch patterns.</t>
  </si>
  <si>
    <t xml:space="preserve">Label</t>
  </si>
  <si>
    <t xml:space="preserve">OCGT (GWh/mo)</t>
  </si>
  <si>
    <t xml:space="preserve">Demand (MW)</t>
  </si>
  <si>
    <t xml:space="preserve">Colour</t>
  </si>
  <si>
    <t xml:space="preserve">Real-World Meaning</t>
  </si>
  <si>
    <t xml:space="preserve">STABLE</t>
  </si>
  <si>
    <t xml:space="preserve">≥ 68</t>
  </si>
  <si>
    <t xml:space="preserve">≤ 20</t>
  </si>
  <si>
    <t xml:space="preserve">≤ 50</t>
  </si>
  <si>
    <t xml:space="preserve">≤ 26,000</t>
  </si>
  <si>
    <t xml:space="preserve">◉</t>
  </si>
  <si>
    <t xml:space="preserve">No loadshedding. Grid healthy. No emergency diesel needed.</t>
  </si>
  <si>
    <t xml:space="preserve">LOW RISK</t>
  </si>
  <si>
    <t xml:space="preserve">≥ 65</t>
  </si>
  <si>
    <t xml:space="preserve">≤ 22</t>
  </si>
  <si>
    <t xml:space="preserve">≤ 120</t>
  </si>
  <si>
    <t xml:space="preserve">Any</t>
  </si>
  <si>
    <t xml:space="preserve">Grid tight but stable. Minimal OCGT. Stage 1 possible.</t>
  </si>
  <si>
    <t xml:space="preserve">MODERATE</t>
  </si>
  <si>
    <t xml:space="preserve">≥ 62</t>
  </si>
  <si>
    <t xml:space="preserve">≤ 25</t>
  </si>
  <si>
    <t xml:space="preserve">≤ 200</t>
  </si>
  <si>
    <t xml:space="preserve">Stage 1–2 loadshedding likely. Grid under pressure.</t>
  </si>
  <si>
    <t xml:space="preserve">ELEVATED</t>
  </si>
  <si>
    <t xml:space="preserve">≥ 60</t>
  </si>
  <si>
    <t xml:space="preserve">≤ 27</t>
  </si>
  <si>
    <t xml:space="preserve">≤ 300</t>
  </si>
  <si>
    <t xml:space="preserve">Stage 2–3 loadshedding. Significant breakdown losses.</t>
  </si>
  <si>
    <t xml:space="preserve">HIGH</t>
  </si>
  <si>
    <t xml:space="preserve">≥ 57</t>
  </si>
  <si>
    <t xml:space="preserve">≤ 29</t>
  </si>
  <si>
    <t xml:space="preserve">≤ 400</t>
  </si>
  <si>
    <t xml:space="preserve">Stage 3–4 loadshedding. Fleet severely degraded.</t>
  </si>
  <si>
    <t xml:space="preserve">SEVERE</t>
  </si>
  <si>
    <t xml:space="preserve">≥ 55</t>
  </si>
  <si>
    <t xml:space="preserve">≤ 31</t>
  </si>
  <si>
    <t xml:space="preserve">≤ 500</t>
  </si>
  <si>
    <t xml:space="preserve">Stage 4–5 loadshedding. Grid near collapse threshold.</t>
  </si>
  <si>
    <t xml:space="preserve">CRITICAL</t>
  </si>
  <si>
    <t xml:space="preserve">&lt; 55</t>
  </si>
  <si>
    <t xml:space="preserve">&gt; 31</t>
  </si>
  <si>
    <t xml:space="preserve">&gt; 500</t>
  </si>
  <si>
    <t xml:space="preserve">Stage 6+ or blackout risk. Maximum emergency measures.</t>
  </si>
  <si>
    <t xml:space="preserve">STAGE DISTRIBUTION — Row Count Per Class</t>
  </si>
  <si>
    <t xml:space="preserve">Check this before training. Low row counts per stage may hurt model accuracy.</t>
  </si>
  <si>
    <t xml:space="preserve">Row Count</t>
  </si>
  <si>
    <t xml:space="preserve">% of Dataset</t>
  </si>
  <si>
    <t xml:space="preserve">Implication</t>
  </si>
  <si>
    <t xml:space="preserve">0.0%</t>
  </si>
  <si>
    <t xml:space="preserve">Good class size</t>
  </si>
  <si>
    <t xml:space="preserve">58.5%</t>
  </si>
  <si>
    <t xml:space="preserve">6.2%</t>
  </si>
  <si>
    <t xml:space="preserve">Monitor</t>
  </si>
  <si>
    <t xml:space="preserve">10.8%</t>
  </si>
  <si>
    <t xml:space="preserve">Small — may merge</t>
  </si>
  <si>
    <t xml:space="preserve">12.3%</t>
  </si>
  <si>
    <t xml:space="preserve">TOTAL</t>
  </si>
  <si>
    <t xml:space="preserve">100%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</si>
</sst>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5C842"/>
      <name val="Arial"/>
      <family val="0"/>
      <charset val="1"/>
    </font>
    <font>
      <b val="true"/>
      <sz val="10"/>
      <color rgb="FFF5C84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64748B"/>
      <name val="Arial"/>
      <family val="0"/>
      <charset val="1"/>
    </font>
    <font>
      <sz val="10"/>
      <color rgb="FFF1F5F9"/>
      <name val="Arial"/>
      <family val="0"/>
      <charset val="1"/>
    </font>
    <font>
      <b val="true"/>
      <sz val="10"/>
      <color rgb="FFE8534A"/>
      <name val="Arial"/>
      <family val="0"/>
      <charset val="1"/>
    </font>
    <font>
      <sz val="10"/>
      <color rgb="FF64748B"/>
      <name val="Arial"/>
      <family val="0"/>
      <charset val="1"/>
    </font>
    <font>
      <b val="true"/>
      <sz val="10"/>
      <color rgb="FF00C49F"/>
      <name val="Arial"/>
      <family val="0"/>
      <charset val="1"/>
    </font>
    <font>
      <sz val="10"/>
      <color rgb="FF00C49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7EC8A4"/>
      <name val="Arial"/>
      <family val="0"/>
      <charset val="1"/>
    </font>
    <font>
      <sz val="10"/>
      <color rgb="FF7EC8A4"/>
      <name val="Arial"/>
      <family val="0"/>
      <charset val="1"/>
    </font>
    <font>
      <sz val="10"/>
      <color rgb="FFF5C842"/>
      <name val="Arial"/>
      <family val="0"/>
      <charset val="1"/>
    </font>
    <font>
      <b val="true"/>
      <sz val="10"/>
      <color rgb="FFE8A83A"/>
      <name val="Arial"/>
      <family val="0"/>
      <charset val="1"/>
    </font>
    <font>
      <sz val="10"/>
      <color rgb="FFE8A83A"/>
      <name val="Arial"/>
      <family val="0"/>
      <charset val="1"/>
    </font>
    <font>
      <b val="true"/>
      <sz val="10"/>
      <color rgb="FFE87B3A"/>
      <name val="Arial"/>
      <family val="0"/>
      <charset val="1"/>
    </font>
    <font>
      <sz val="10"/>
      <color rgb="FFE87B3A"/>
      <name val="Arial"/>
      <family val="0"/>
      <charset val="1"/>
    </font>
    <font>
      <sz val="10"/>
      <color rgb="FFE8534A"/>
      <name val="Arial"/>
      <family val="0"/>
      <charset val="1"/>
    </font>
    <font>
      <b val="true"/>
      <sz val="10"/>
      <color rgb="FF8B0000"/>
      <name val="Arial"/>
      <family val="0"/>
      <charset val="1"/>
    </font>
    <font>
      <sz val="10"/>
      <color rgb="FF8B0000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0B0F1A"/>
        <bgColor rgb="FF0D1117"/>
      </patternFill>
    </fill>
    <fill>
      <patternFill patternType="solid">
        <fgColor rgb="FF1E2D3D"/>
        <bgColor rgb="FF111827"/>
      </patternFill>
    </fill>
    <fill>
      <patternFill patternType="solid">
        <fgColor rgb="FFE8534A"/>
        <bgColor rgb="FFC84222"/>
      </patternFill>
    </fill>
    <fill>
      <patternFill patternType="solid">
        <fgColor rgb="FF0D1117"/>
        <bgColor rgb="FF0B0F1A"/>
      </patternFill>
    </fill>
    <fill>
      <patternFill patternType="solid">
        <fgColor rgb="FF111827"/>
        <bgColor rgb="FF0D1117"/>
      </patternFill>
    </fill>
    <fill>
      <patternFill patternType="solid">
        <fgColor rgb="FFF5C842"/>
        <bgColor rgb="FFE8A83A"/>
      </patternFill>
    </fill>
    <fill>
      <patternFill patternType="solid">
        <fgColor rgb="FFE87B3A"/>
        <bgColor rgb="FFE8534A"/>
      </patternFill>
    </fill>
    <fill>
      <patternFill patternType="solid">
        <fgColor rgb="FFE8A83A"/>
        <bgColor rgb="FFC8A422"/>
      </patternFill>
    </fill>
    <fill>
      <patternFill patternType="solid">
        <fgColor rgb="FF7EC8A4"/>
        <bgColor rgb="FFC0C0C0"/>
      </patternFill>
    </fill>
    <fill>
      <patternFill patternType="solid">
        <fgColor rgb="FF8B0000"/>
        <bgColor rgb="FF800000"/>
      </patternFill>
    </fill>
    <fill>
      <patternFill patternType="solid">
        <fgColor rgb="FF2D0A0A"/>
        <bgColor rgb="FF0D1117"/>
      </patternFill>
    </fill>
    <fill>
      <patternFill patternType="solid">
        <fgColor rgb="FFC49F22"/>
        <bgColor rgb="FFC8A422"/>
      </patternFill>
    </fill>
    <fill>
      <patternFill patternType="solid">
        <fgColor rgb="FF00C49F"/>
        <bgColor rgb="FF00CCFF"/>
      </patternFill>
    </fill>
    <fill>
      <patternFill patternType="solid">
        <fgColor rgb="FFC8A422"/>
        <bgColor rgb="FFC49F22"/>
      </patternFill>
    </fill>
    <fill>
      <patternFill patternType="solid">
        <fgColor rgb="FFC84222"/>
        <bgColor rgb="FFA83A22"/>
      </patternFill>
    </fill>
    <fill>
      <patternFill patternType="solid">
        <fgColor rgb="FFA83A22"/>
        <bgColor rgb="FFC84222"/>
      </patternFill>
    </fill>
    <fill>
      <patternFill patternType="solid">
        <fgColor rgb="FF7B3A22"/>
        <bgColor rgb="FFA83A22"/>
      </patternFill>
    </fill>
    <fill>
      <patternFill patternType="solid">
        <fgColor rgb="FF534A22"/>
        <bgColor rgb="FF7B3A22"/>
      </patternFill>
    </fill>
    <fill>
      <patternFill patternType="solid">
        <fgColor rgb="FF000022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1E2D3D"/>
      </left>
      <right style="thin">
        <color rgb="FF1E2D3D"/>
      </right>
      <top style="thin">
        <color rgb="FF1E2D3D"/>
      </top>
      <bottom style="thin">
        <color rgb="FF1E2D3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22"/>
      <rgbColor rgb="FFC49F22"/>
      <rgbColor rgb="FF800080"/>
      <rgbColor rgb="FF008080"/>
      <rgbColor rgb="FFC0C0C0"/>
      <rgbColor rgb="FF808080"/>
      <rgbColor rgb="FF9999FF"/>
      <rgbColor rgb="FF7B3A22"/>
      <rgbColor rgb="FFF1F5F9"/>
      <rgbColor rgb="FFCCFFFF"/>
      <rgbColor rgb="FF2D0A0A"/>
      <rgbColor rgb="FFE87B3A"/>
      <rgbColor rgb="FF0066CC"/>
      <rgbColor rgb="FFCCCCFF"/>
      <rgbColor rgb="FF0B0F1A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7EC8A4"/>
      <rgbColor rgb="FFFF99CC"/>
      <rgbColor rgb="FFCC99FF"/>
      <rgbColor rgb="FFFFCC99"/>
      <rgbColor rgb="FF3366FF"/>
      <rgbColor rgb="FF00C49F"/>
      <rgbColor rgb="FFC8A422"/>
      <rgbColor rgb="FFF5C842"/>
      <rgbColor rgb="FFE8A83A"/>
      <rgbColor rgb="FFE8534A"/>
      <rgbColor rgb="FF64748B"/>
      <rgbColor rgb="FF969696"/>
      <rgbColor rgb="FF0D1117"/>
      <rgbColor rgb="FF339966"/>
      <rgbColor rgb="FF111827"/>
      <rgbColor rgb="FF534A22"/>
      <rgbColor rgb="FFA83A22"/>
      <rgbColor rgb="FFC84222"/>
      <rgbColor rgb="FF333399"/>
      <rgbColor rgb="FF1E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5" min="2" style="1" width="9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14"/>
    <col collapsed="false" customWidth="true" hidden="false" outlineLevel="0" max="12" min="10" style="1" width="16"/>
    <col collapsed="false" customWidth="true" hidden="false" outlineLevel="0" max="13" min="13" style="1" width="10"/>
    <col collapsed="false" customWidth="true" hidden="false" outlineLevel="0" max="14" min="14" style="1" width="12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33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4" t="s">
        <v>14</v>
      </c>
    </row>
    <row r="3" customFormat="false" ht="13.5" hidden="false" customHeight="true" outlineLevel="0" collapsed="false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5" t="s">
        <v>22</v>
      </c>
      <c r="I3" s="5" t="s">
        <v>23</v>
      </c>
      <c r="J3" s="5" t="s">
        <v>24</v>
      </c>
      <c r="K3" s="5" t="s">
        <v>25</v>
      </c>
      <c r="L3" s="5" t="s">
        <v>26</v>
      </c>
      <c r="M3" s="5" t="s">
        <v>27</v>
      </c>
      <c r="N3" s="5" t="s">
        <v>28</v>
      </c>
    </row>
    <row r="4" customFormat="false" ht="15" hidden="false" customHeight="true" outlineLevel="0" collapsed="false">
      <c r="A4" s="6" t="s">
        <v>29</v>
      </c>
      <c r="B4" s="6" t="n">
        <v>63.6</v>
      </c>
      <c r="C4" s="6" t="n">
        <v>20</v>
      </c>
      <c r="D4" s="6" t="n">
        <v>16.3</v>
      </c>
      <c r="E4" s="6" t="n">
        <v>0.1</v>
      </c>
      <c r="F4" s="6" t="n">
        <v>26500</v>
      </c>
      <c r="G4" s="6" t="n">
        <v>35.5</v>
      </c>
      <c r="H4" s="6" t="n">
        <v>1950</v>
      </c>
      <c r="I4" s="6" t="n">
        <v>99.4</v>
      </c>
      <c r="J4" s="6" t="n">
        <f aca="false">F4-H4</f>
        <v>24550</v>
      </c>
      <c r="K4" s="6" t="n">
        <f aca="false">H4/F4*100</f>
        <v>7.35849056603774</v>
      </c>
      <c r="L4" s="6" t="n">
        <f aca="false">C4*0.4+(1-B4/100)*30+I4/50</f>
        <v>20.908</v>
      </c>
      <c r="M4" s="6" t="s">
        <v>30</v>
      </c>
      <c r="N4" s="7" t="n">
        <v>2</v>
      </c>
    </row>
    <row r="5" customFormat="false" ht="15" hidden="false" customHeight="true" outlineLevel="0" collapsed="false">
      <c r="A5" s="8" t="s">
        <v>31</v>
      </c>
      <c r="B5" s="8" t="n">
        <v>62.3</v>
      </c>
      <c r="C5" s="8" t="n">
        <v>21.3</v>
      </c>
      <c r="D5" s="8" t="n">
        <v>16.3</v>
      </c>
      <c r="E5" s="8" t="n">
        <v>0.1</v>
      </c>
      <c r="F5" s="8" t="n">
        <v>26200</v>
      </c>
      <c r="G5" s="8" t="n">
        <v>36</v>
      </c>
      <c r="H5" s="8" t="n">
        <v>1980</v>
      </c>
      <c r="I5" s="8" t="n">
        <v>95</v>
      </c>
      <c r="J5" s="8" t="n">
        <f aca="false">F5-H5</f>
        <v>24220</v>
      </c>
      <c r="K5" s="8" t="n">
        <f aca="false">H5/F5*100</f>
        <v>7.55725190839695</v>
      </c>
      <c r="L5" s="8" t="n">
        <f aca="false">C5*0.4+(1-B5/100)*30+I5/50</f>
        <v>21.73</v>
      </c>
      <c r="M5" s="8" t="s">
        <v>30</v>
      </c>
      <c r="N5" s="7" t="n">
        <v>2</v>
      </c>
    </row>
    <row r="6" customFormat="false" ht="15" hidden="false" customHeight="true" outlineLevel="0" collapsed="false">
      <c r="A6" s="6" t="s">
        <v>32</v>
      </c>
      <c r="B6" s="6" t="n">
        <v>58.1</v>
      </c>
      <c r="C6" s="6" t="n">
        <v>24.9</v>
      </c>
      <c r="D6" s="6" t="n">
        <v>16.8</v>
      </c>
      <c r="E6" s="6" t="n">
        <v>0.2</v>
      </c>
      <c r="F6" s="6" t="n">
        <v>26800</v>
      </c>
      <c r="G6" s="6" t="n">
        <v>35.2</v>
      </c>
      <c r="H6" s="6" t="n">
        <v>1920</v>
      </c>
      <c r="I6" s="6" t="n">
        <v>96</v>
      </c>
      <c r="J6" s="6" t="n">
        <f aca="false">F6-H6</f>
        <v>24880</v>
      </c>
      <c r="K6" s="6" t="n">
        <f aca="false">H6/F6*100</f>
        <v>7.16417910447761</v>
      </c>
      <c r="L6" s="6" t="n">
        <f aca="false">C6*0.4+(1-B6/100)*30+I6/50</f>
        <v>24.45</v>
      </c>
      <c r="M6" s="6" t="s">
        <v>30</v>
      </c>
      <c r="N6" s="9" t="n">
        <v>4</v>
      </c>
    </row>
    <row r="7" customFormat="false" ht="15" hidden="false" customHeight="true" outlineLevel="0" collapsed="false">
      <c r="A7" s="8" t="s">
        <v>33</v>
      </c>
      <c r="B7" s="8" t="n">
        <v>56.5</v>
      </c>
      <c r="C7" s="8" t="n">
        <v>26.5</v>
      </c>
      <c r="D7" s="8" t="n">
        <v>16.6</v>
      </c>
      <c r="E7" s="8" t="n">
        <v>0.4</v>
      </c>
      <c r="F7" s="8" t="n">
        <v>27100</v>
      </c>
      <c r="G7" s="8" t="n">
        <v>34.8</v>
      </c>
      <c r="H7" s="8" t="n">
        <v>1880</v>
      </c>
      <c r="I7" s="8" t="n">
        <v>97</v>
      </c>
      <c r="J7" s="8" t="n">
        <f aca="false">F7-H7</f>
        <v>25220</v>
      </c>
      <c r="K7" s="8" t="n">
        <f aca="false">H7/F7*100</f>
        <v>6.93726937269373</v>
      </c>
      <c r="L7" s="8" t="n">
        <f aca="false">C7*0.4+(1-B7/100)*30+I7/50</f>
        <v>25.59</v>
      </c>
      <c r="M7" s="8" t="s">
        <v>30</v>
      </c>
      <c r="N7" s="4" t="n">
        <v>5</v>
      </c>
    </row>
    <row r="8" customFormat="false" ht="15" hidden="false" customHeight="true" outlineLevel="0" collapsed="false">
      <c r="A8" s="6" t="s">
        <v>34</v>
      </c>
      <c r="B8" s="6" t="n">
        <v>61.5</v>
      </c>
      <c r="C8" s="6" t="n">
        <v>25.6</v>
      </c>
      <c r="D8" s="6" t="n">
        <v>12.9</v>
      </c>
      <c r="E8" s="6" t="n">
        <v>0</v>
      </c>
      <c r="F8" s="6" t="n">
        <v>26600</v>
      </c>
      <c r="G8" s="6" t="n">
        <v>36.5</v>
      </c>
      <c r="H8" s="6" t="n">
        <v>2010</v>
      </c>
      <c r="I8" s="6" t="n">
        <v>95</v>
      </c>
      <c r="J8" s="6" t="n">
        <f aca="false">F8-H8</f>
        <v>24590</v>
      </c>
      <c r="K8" s="6" t="n">
        <f aca="false">H8/F8*100</f>
        <v>7.55639097744361</v>
      </c>
      <c r="L8" s="6" t="n">
        <f aca="false">C8*0.4+(1-B8/100)*30+I8/50</f>
        <v>23.69</v>
      </c>
      <c r="M8" s="6" t="s">
        <v>30</v>
      </c>
      <c r="N8" s="10" t="n">
        <v>3</v>
      </c>
    </row>
    <row r="9" customFormat="false" ht="15" hidden="false" customHeight="true" outlineLevel="0" collapsed="false">
      <c r="A9" s="8" t="s">
        <v>35</v>
      </c>
      <c r="B9" s="8" t="n">
        <v>61.6</v>
      </c>
      <c r="C9" s="8" t="n">
        <v>24</v>
      </c>
      <c r="D9" s="8" t="n">
        <v>13.4</v>
      </c>
      <c r="E9" s="8" t="n">
        <v>0</v>
      </c>
      <c r="F9" s="8" t="n">
        <v>27200</v>
      </c>
      <c r="G9" s="8" t="n">
        <v>37</v>
      </c>
      <c r="H9" s="8" t="n">
        <v>2050</v>
      </c>
      <c r="I9" s="8" t="n">
        <v>92</v>
      </c>
      <c r="J9" s="8" t="n">
        <f aca="false">F9-H9</f>
        <v>25150</v>
      </c>
      <c r="K9" s="8" t="n">
        <f aca="false">H9/F9*100</f>
        <v>7.53676470588235</v>
      </c>
      <c r="L9" s="8" t="n">
        <f aca="false">C9*0.4+(1-B9/100)*30+I9/50</f>
        <v>22.96</v>
      </c>
      <c r="M9" s="8" t="s">
        <v>30</v>
      </c>
      <c r="N9" s="10" t="n">
        <v>3</v>
      </c>
    </row>
    <row r="10" customFormat="false" ht="15" hidden="false" customHeight="true" outlineLevel="0" collapsed="false">
      <c r="A10" s="6" t="s">
        <v>36</v>
      </c>
      <c r="B10" s="6" t="n">
        <v>66.9</v>
      </c>
      <c r="C10" s="6" t="n">
        <v>19.7</v>
      </c>
      <c r="D10" s="6" t="n">
        <v>13.2</v>
      </c>
      <c r="E10" s="6" t="n">
        <v>0.2</v>
      </c>
      <c r="F10" s="6" t="n">
        <v>27600</v>
      </c>
      <c r="G10" s="6" t="n">
        <v>38.4</v>
      </c>
      <c r="H10" s="6" t="n">
        <v>2100</v>
      </c>
      <c r="I10" s="6" t="n">
        <v>88</v>
      </c>
      <c r="J10" s="6" t="n">
        <f aca="false">F10-H10</f>
        <v>25500</v>
      </c>
      <c r="K10" s="6" t="n">
        <f aca="false">H10/F10*100</f>
        <v>7.60869565217391</v>
      </c>
      <c r="L10" s="6" t="n">
        <f aca="false">C10*0.4+(1-B10/100)*30+I10/50</f>
        <v>19.57</v>
      </c>
      <c r="M10" s="6" t="s">
        <v>30</v>
      </c>
      <c r="N10" s="11" t="n">
        <v>1</v>
      </c>
    </row>
    <row r="11" customFormat="false" ht="15" hidden="false" customHeight="true" outlineLevel="0" collapsed="false">
      <c r="A11" s="8" t="s">
        <v>37</v>
      </c>
      <c r="B11" s="8" t="n">
        <v>68.1</v>
      </c>
      <c r="C11" s="8" t="n">
        <v>20.9</v>
      </c>
      <c r="D11" s="8" t="n">
        <v>11</v>
      </c>
      <c r="E11" s="8" t="n">
        <v>0</v>
      </c>
      <c r="F11" s="8" t="n">
        <v>27900</v>
      </c>
      <c r="G11" s="8" t="n">
        <v>39</v>
      </c>
      <c r="H11" s="8" t="n">
        <v>2150</v>
      </c>
      <c r="I11" s="8" t="n">
        <v>85</v>
      </c>
      <c r="J11" s="8" t="n">
        <f aca="false">F11-H11</f>
        <v>25750</v>
      </c>
      <c r="K11" s="8" t="n">
        <f aca="false">H11/F11*100</f>
        <v>7.70609318996416</v>
      </c>
      <c r="L11" s="8" t="n">
        <f aca="false">C11*0.4+(1-B11/100)*30+I11/50</f>
        <v>19.63</v>
      </c>
      <c r="M11" s="8" t="s">
        <v>30</v>
      </c>
      <c r="N11" s="11" t="n">
        <v>1</v>
      </c>
    </row>
    <row r="12" customFormat="false" ht="15" hidden="false" customHeight="true" outlineLevel="0" collapsed="false">
      <c r="A12" s="6" t="s">
        <v>38</v>
      </c>
      <c r="B12" s="6" t="n">
        <v>66.7</v>
      </c>
      <c r="C12" s="6" t="n">
        <v>20.6</v>
      </c>
      <c r="D12" s="6" t="n">
        <v>12.7</v>
      </c>
      <c r="E12" s="6" t="n">
        <v>0</v>
      </c>
      <c r="F12" s="6" t="n">
        <v>28100</v>
      </c>
      <c r="G12" s="6" t="n">
        <v>38.2</v>
      </c>
      <c r="H12" s="6" t="n">
        <v>2120</v>
      </c>
      <c r="I12" s="6" t="n">
        <v>90</v>
      </c>
      <c r="J12" s="6" t="n">
        <f aca="false">F12-H12</f>
        <v>25980</v>
      </c>
      <c r="K12" s="6" t="n">
        <f aca="false">H12/F12*100</f>
        <v>7.54448398576512</v>
      </c>
      <c r="L12" s="6" t="n">
        <f aca="false">C12*0.4+(1-B12/100)*30+I12/50</f>
        <v>20.03</v>
      </c>
      <c r="M12" s="6" t="s">
        <v>30</v>
      </c>
      <c r="N12" s="11" t="n">
        <v>1</v>
      </c>
    </row>
    <row r="13" customFormat="false" ht="15" hidden="false" customHeight="true" outlineLevel="0" collapsed="false">
      <c r="A13" s="8" t="s">
        <v>39</v>
      </c>
      <c r="B13" s="8" t="n">
        <v>66.3</v>
      </c>
      <c r="C13" s="8" t="n">
        <v>21.1</v>
      </c>
      <c r="D13" s="8" t="n">
        <v>12.6</v>
      </c>
      <c r="E13" s="8" t="n">
        <v>0</v>
      </c>
      <c r="F13" s="8" t="n">
        <v>28800</v>
      </c>
      <c r="G13" s="8" t="n">
        <v>40</v>
      </c>
      <c r="H13" s="8" t="n">
        <v>2200</v>
      </c>
      <c r="I13" s="8" t="n">
        <v>82</v>
      </c>
      <c r="J13" s="8" t="n">
        <f aca="false">F13-H13</f>
        <v>26600</v>
      </c>
      <c r="K13" s="8" t="n">
        <f aca="false">H13/F13*100</f>
        <v>7.63888888888889</v>
      </c>
      <c r="L13" s="8" t="n">
        <f aca="false">C13*0.4+(1-B13/100)*30+I13/50</f>
        <v>20.19</v>
      </c>
      <c r="M13" s="8" t="s">
        <v>40</v>
      </c>
      <c r="N13" s="11" t="n">
        <v>1</v>
      </c>
    </row>
    <row r="14" customFormat="false" ht="15" hidden="false" customHeight="true" outlineLevel="0" collapsed="false">
      <c r="A14" s="6" t="s">
        <v>41</v>
      </c>
      <c r="B14" s="6" t="n">
        <v>65.1</v>
      </c>
      <c r="C14" s="6" t="n">
        <v>21.6</v>
      </c>
      <c r="D14" s="6" t="n">
        <v>12.9</v>
      </c>
      <c r="E14" s="6" t="n">
        <v>0.4</v>
      </c>
      <c r="F14" s="6" t="n">
        <v>29200</v>
      </c>
      <c r="G14" s="6" t="n">
        <v>45</v>
      </c>
      <c r="H14" s="6" t="n">
        <v>2400</v>
      </c>
      <c r="I14" s="6" t="n">
        <v>78</v>
      </c>
      <c r="J14" s="6" t="n">
        <f aca="false">F14-H14</f>
        <v>26800</v>
      </c>
      <c r="K14" s="6" t="n">
        <f aca="false">H14/F14*100</f>
        <v>8.21917808219178</v>
      </c>
      <c r="L14" s="6" t="n">
        <f aca="false">C14*0.4+(1-B14/100)*30+I14/50</f>
        <v>20.67</v>
      </c>
      <c r="M14" s="6" t="s">
        <v>40</v>
      </c>
      <c r="N14" s="11" t="n">
        <v>1</v>
      </c>
    </row>
    <row r="15" customFormat="false" ht="15" hidden="false" customHeight="true" outlineLevel="0" collapsed="false">
      <c r="A15" s="8" t="s">
        <v>42</v>
      </c>
      <c r="B15" s="8" t="n">
        <v>68.8</v>
      </c>
      <c r="C15" s="8" t="n">
        <v>21.8</v>
      </c>
      <c r="D15" s="8" t="n">
        <v>9.1</v>
      </c>
      <c r="E15" s="8" t="n">
        <v>0.3</v>
      </c>
      <c r="F15" s="8" t="n">
        <v>29600</v>
      </c>
      <c r="G15" s="8" t="n">
        <v>55</v>
      </c>
      <c r="H15" s="8" t="n">
        <v>2800</v>
      </c>
      <c r="I15" s="8" t="n">
        <v>74</v>
      </c>
      <c r="J15" s="8" t="n">
        <f aca="false">F15-H15</f>
        <v>26800</v>
      </c>
      <c r="K15" s="8" t="n">
        <f aca="false">H15/F15*100</f>
        <v>9.45945945945946</v>
      </c>
      <c r="L15" s="8" t="n">
        <f aca="false">C15*0.4+(1-B15/100)*30+I15/50</f>
        <v>19.56</v>
      </c>
      <c r="M15" s="8" t="s">
        <v>40</v>
      </c>
      <c r="N15" s="11" t="n">
        <v>1</v>
      </c>
    </row>
    <row r="16" customFormat="false" ht="15" hidden="false" customHeight="true" outlineLevel="0" collapsed="false">
      <c r="A16" s="6" t="s">
        <v>43</v>
      </c>
      <c r="B16" s="6" t="n">
        <v>64</v>
      </c>
      <c r="C16" s="6" t="n">
        <v>26</v>
      </c>
      <c r="D16" s="6" t="n">
        <v>9.1</v>
      </c>
      <c r="E16" s="6" t="n">
        <v>0.9</v>
      </c>
      <c r="F16" s="6" t="n">
        <v>29800</v>
      </c>
      <c r="G16" s="6" t="n">
        <v>64</v>
      </c>
      <c r="H16" s="6" t="n">
        <v>3200</v>
      </c>
      <c r="I16" s="6" t="n">
        <v>72</v>
      </c>
      <c r="J16" s="6" t="n">
        <f aca="false">F16-H16</f>
        <v>26600</v>
      </c>
      <c r="K16" s="6" t="n">
        <f aca="false">H16/F16*100</f>
        <v>10.738255033557</v>
      </c>
      <c r="L16" s="6" t="n">
        <f aca="false">C16*0.4+(1-B16/100)*30+I16/50</f>
        <v>22.64</v>
      </c>
      <c r="M16" s="6" t="s">
        <v>40</v>
      </c>
      <c r="N16" s="10" t="n">
        <v>3</v>
      </c>
    </row>
    <row r="17" customFormat="false" ht="15" hidden="false" customHeight="true" outlineLevel="0" collapsed="false">
      <c r="A17" s="8" t="s">
        <v>44</v>
      </c>
      <c r="B17" s="8" t="n">
        <v>57</v>
      </c>
      <c r="C17" s="8" t="n">
        <v>28</v>
      </c>
      <c r="D17" s="8" t="n">
        <v>14.5</v>
      </c>
      <c r="E17" s="8" t="n">
        <v>0.5</v>
      </c>
      <c r="F17" s="8" t="n">
        <v>27200</v>
      </c>
      <c r="G17" s="8" t="n">
        <v>40</v>
      </c>
      <c r="H17" s="8" t="n">
        <v>2000</v>
      </c>
      <c r="I17" s="8" t="n">
        <v>420</v>
      </c>
      <c r="J17" s="8" t="n">
        <f aca="false">F17-H17</f>
        <v>25200</v>
      </c>
      <c r="K17" s="8" t="n">
        <f aca="false">H17/F17*100</f>
        <v>7.35294117647059</v>
      </c>
      <c r="L17" s="8" t="n">
        <f aca="false">C17*0.4+(1-B17/100)*30+I17/50</f>
        <v>32.5</v>
      </c>
      <c r="M17" s="8" t="s">
        <v>30</v>
      </c>
      <c r="N17" s="4" t="n">
        <v>5</v>
      </c>
    </row>
    <row r="18" customFormat="false" ht="15" hidden="false" customHeight="true" outlineLevel="0" collapsed="false">
      <c r="A18" s="6" t="s">
        <v>45</v>
      </c>
      <c r="B18" s="6" t="n">
        <v>56.8</v>
      </c>
      <c r="C18" s="6" t="n">
        <v>28.3</v>
      </c>
      <c r="D18" s="6" t="n">
        <v>14.6</v>
      </c>
      <c r="E18" s="6" t="n">
        <v>0.3</v>
      </c>
      <c r="F18" s="6" t="n">
        <v>27000</v>
      </c>
      <c r="G18" s="6" t="n">
        <v>39.5</v>
      </c>
      <c r="H18" s="6" t="n">
        <v>1980</v>
      </c>
      <c r="I18" s="6" t="n">
        <v>430</v>
      </c>
      <c r="J18" s="6" t="n">
        <f aca="false">F18-H18</f>
        <v>25020</v>
      </c>
      <c r="K18" s="6" t="n">
        <f aca="false">H18/F18*100</f>
        <v>7.33333333333333</v>
      </c>
      <c r="L18" s="6" t="n">
        <f aca="false">C18*0.4+(1-B18/100)*30+I18/50</f>
        <v>32.88</v>
      </c>
      <c r="M18" s="6" t="s">
        <v>30</v>
      </c>
      <c r="N18" s="4" t="n">
        <v>5</v>
      </c>
    </row>
    <row r="19" customFormat="false" ht="15" hidden="false" customHeight="true" outlineLevel="0" collapsed="false">
      <c r="A19" s="8" t="s">
        <v>46</v>
      </c>
      <c r="B19" s="8" t="n">
        <v>56.2</v>
      </c>
      <c r="C19" s="8" t="n">
        <v>28.8</v>
      </c>
      <c r="D19" s="8" t="n">
        <v>14.7</v>
      </c>
      <c r="E19" s="8" t="n">
        <v>0.3</v>
      </c>
      <c r="F19" s="8" t="n">
        <v>27100</v>
      </c>
      <c r="G19" s="8" t="n">
        <v>38.8</v>
      </c>
      <c r="H19" s="8" t="n">
        <v>1960</v>
      </c>
      <c r="I19" s="8" t="n">
        <v>462</v>
      </c>
      <c r="J19" s="8" t="n">
        <f aca="false">F19-H19</f>
        <v>25140</v>
      </c>
      <c r="K19" s="8" t="n">
        <f aca="false">H19/F19*100</f>
        <v>7.23247232472325</v>
      </c>
      <c r="L19" s="8" t="n">
        <f aca="false">C19*0.4+(1-B19/100)*30+I19/50</f>
        <v>33.9</v>
      </c>
      <c r="M19" s="8" t="s">
        <v>30</v>
      </c>
      <c r="N19" s="4" t="n">
        <v>5</v>
      </c>
    </row>
    <row r="20" customFormat="false" ht="15" hidden="false" customHeight="true" outlineLevel="0" collapsed="false">
      <c r="A20" s="6" t="s">
        <v>47</v>
      </c>
      <c r="B20" s="6" t="n">
        <v>55.8</v>
      </c>
      <c r="C20" s="6" t="n">
        <v>29</v>
      </c>
      <c r="D20" s="6" t="n">
        <v>14.9</v>
      </c>
      <c r="E20" s="6" t="n">
        <v>0.3</v>
      </c>
      <c r="F20" s="6" t="n">
        <v>27300</v>
      </c>
      <c r="G20" s="6" t="n">
        <v>38</v>
      </c>
      <c r="H20" s="6" t="n">
        <v>1940</v>
      </c>
      <c r="I20" s="6" t="n">
        <v>450</v>
      </c>
      <c r="J20" s="6" t="n">
        <f aca="false">F20-H20</f>
        <v>25360</v>
      </c>
      <c r="K20" s="6" t="n">
        <f aca="false">H20/F20*100</f>
        <v>7.10622710622711</v>
      </c>
      <c r="L20" s="6" t="n">
        <f aca="false">C20*0.4+(1-B20/100)*30+I20/50</f>
        <v>33.86</v>
      </c>
      <c r="M20" s="6" t="s">
        <v>30</v>
      </c>
      <c r="N20" s="4" t="n">
        <v>5</v>
      </c>
    </row>
    <row r="21" customFormat="false" ht="15" hidden="false" customHeight="true" outlineLevel="0" collapsed="false">
      <c r="A21" s="8" t="s">
        <v>48</v>
      </c>
      <c r="B21" s="8" t="n">
        <v>56.5</v>
      </c>
      <c r="C21" s="8" t="n">
        <v>28.4</v>
      </c>
      <c r="D21" s="8" t="n">
        <v>14.8</v>
      </c>
      <c r="E21" s="8" t="n">
        <v>0.3</v>
      </c>
      <c r="F21" s="8" t="n">
        <v>27100</v>
      </c>
      <c r="G21" s="8" t="n">
        <v>39</v>
      </c>
      <c r="H21" s="8" t="n">
        <v>1970</v>
      </c>
      <c r="I21" s="8" t="n">
        <v>440</v>
      </c>
      <c r="J21" s="8" t="n">
        <f aca="false">F21-H21</f>
        <v>25130</v>
      </c>
      <c r="K21" s="8" t="n">
        <f aca="false">H21/F21*100</f>
        <v>7.26937269372694</v>
      </c>
      <c r="L21" s="8" t="n">
        <f aca="false">C21*0.4+(1-B21/100)*30+I21/50</f>
        <v>33.21</v>
      </c>
      <c r="M21" s="8" t="s">
        <v>30</v>
      </c>
      <c r="N21" s="4" t="n">
        <v>5</v>
      </c>
    </row>
    <row r="22" customFormat="false" ht="15" hidden="false" customHeight="true" outlineLevel="0" collapsed="false">
      <c r="A22" s="6" t="s">
        <v>49</v>
      </c>
      <c r="B22" s="6" t="n">
        <v>58.5</v>
      </c>
      <c r="C22" s="6" t="n">
        <v>29.2</v>
      </c>
      <c r="D22" s="6" t="n">
        <v>11.8</v>
      </c>
      <c r="E22" s="6" t="n">
        <v>0.5</v>
      </c>
      <c r="F22" s="6" t="n">
        <v>27500</v>
      </c>
      <c r="G22" s="6" t="n">
        <v>37.5</v>
      </c>
      <c r="H22" s="6" t="n">
        <v>1950</v>
      </c>
      <c r="I22" s="6" t="n">
        <v>300</v>
      </c>
      <c r="J22" s="6" t="n">
        <f aca="false">F22-H22</f>
        <v>25550</v>
      </c>
      <c r="K22" s="6" t="n">
        <f aca="false">H22/F22*100</f>
        <v>7.09090909090909</v>
      </c>
      <c r="L22" s="6" t="n">
        <f aca="false">C22*0.4+(1-B22/100)*30+I22/50</f>
        <v>30.13</v>
      </c>
      <c r="M22" s="6" t="s">
        <v>30</v>
      </c>
      <c r="N22" s="4" t="n">
        <v>5</v>
      </c>
    </row>
    <row r="23" customFormat="false" ht="15" hidden="false" customHeight="true" outlineLevel="0" collapsed="false">
      <c r="A23" s="8" t="s">
        <v>50</v>
      </c>
      <c r="B23" s="8" t="n">
        <v>59.2</v>
      </c>
      <c r="C23" s="8" t="n">
        <v>28.9</v>
      </c>
      <c r="D23" s="8" t="n">
        <v>11.4</v>
      </c>
      <c r="E23" s="8" t="n">
        <v>0.5</v>
      </c>
      <c r="F23" s="8" t="n">
        <v>27400</v>
      </c>
      <c r="G23" s="8" t="n">
        <v>38.2</v>
      </c>
      <c r="H23" s="8" t="n">
        <v>1970</v>
      </c>
      <c r="I23" s="8" t="n">
        <v>290</v>
      </c>
      <c r="J23" s="8" t="n">
        <f aca="false">F23-H23</f>
        <v>25430</v>
      </c>
      <c r="K23" s="8" t="n">
        <f aca="false">H23/F23*100</f>
        <v>7.18978102189781</v>
      </c>
      <c r="L23" s="8" t="n">
        <f aca="false">C23*0.4+(1-B23/100)*30+I23/50</f>
        <v>29.6</v>
      </c>
      <c r="M23" s="8" t="s">
        <v>30</v>
      </c>
      <c r="N23" s="9" t="n">
        <v>4</v>
      </c>
    </row>
    <row r="24" customFormat="false" ht="15" hidden="false" customHeight="true" outlineLevel="0" collapsed="false">
      <c r="A24" s="6" t="s">
        <v>51</v>
      </c>
      <c r="B24" s="6" t="n">
        <v>59.4</v>
      </c>
      <c r="C24" s="6" t="n">
        <v>28.7</v>
      </c>
      <c r="D24" s="6" t="n">
        <v>11.3</v>
      </c>
      <c r="E24" s="6" t="n">
        <v>0.6</v>
      </c>
      <c r="F24" s="6" t="n">
        <v>27600</v>
      </c>
      <c r="G24" s="6" t="n">
        <v>38.8</v>
      </c>
      <c r="H24" s="6" t="n">
        <v>2000</v>
      </c>
      <c r="I24" s="6" t="n">
        <v>285</v>
      </c>
      <c r="J24" s="6" t="n">
        <f aca="false">F24-H24</f>
        <v>25600</v>
      </c>
      <c r="K24" s="6" t="n">
        <f aca="false">H24/F24*100</f>
        <v>7.2463768115942</v>
      </c>
      <c r="L24" s="6" t="n">
        <f aca="false">C24*0.4+(1-B24/100)*30+I24/50</f>
        <v>29.36</v>
      </c>
      <c r="M24" s="6" t="s">
        <v>30</v>
      </c>
      <c r="N24" s="9" t="n">
        <v>4</v>
      </c>
    </row>
    <row r="25" customFormat="false" ht="15" hidden="false" customHeight="true" outlineLevel="0" collapsed="false">
      <c r="A25" s="8" t="s">
        <v>52</v>
      </c>
      <c r="B25" s="8" t="n">
        <v>59.5</v>
      </c>
      <c r="C25" s="8" t="n">
        <v>28.5</v>
      </c>
      <c r="D25" s="8" t="n">
        <v>11.6</v>
      </c>
      <c r="E25" s="8" t="n">
        <v>0.4</v>
      </c>
      <c r="F25" s="8" t="n">
        <v>27500</v>
      </c>
      <c r="G25" s="8" t="n">
        <v>38.5</v>
      </c>
      <c r="H25" s="8" t="n">
        <v>1980</v>
      </c>
      <c r="I25" s="8" t="n">
        <v>280</v>
      </c>
      <c r="J25" s="8" t="n">
        <f aca="false">F25-H25</f>
        <v>25520</v>
      </c>
      <c r="K25" s="8" t="n">
        <f aca="false">H25/F25*100</f>
        <v>7.2</v>
      </c>
      <c r="L25" s="8" t="n">
        <f aca="false">C25*0.4+(1-B25/100)*30+I25/50</f>
        <v>29.15</v>
      </c>
      <c r="M25" s="8" t="s">
        <v>30</v>
      </c>
      <c r="N25" s="9" t="n">
        <v>4</v>
      </c>
    </row>
    <row r="26" customFormat="false" ht="15" hidden="false" customHeight="true" outlineLevel="0" collapsed="false">
      <c r="A26" s="6" t="s">
        <v>53</v>
      </c>
      <c r="B26" s="6" t="n">
        <v>60</v>
      </c>
      <c r="C26" s="6" t="n">
        <v>31.4</v>
      </c>
      <c r="D26" s="6" t="n">
        <v>8.2</v>
      </c>
      <c r="E26" s="6" t="n">
        <v>0.4</v>
      </c>
      <c r="F26" s="6" t="n">
        <v>28200</v>
      </c>
      <c r="G26" s="6" t="n">
        <v>42</v>
      </c>
      <c r="H26" s="6" t="n">
        <v>2100</v>
      </c>
      <c r="I26" s="6" t="n">
        <v>285</v>
      </c>
      <c r="J26" s="6" t="n">
        <f aca="false">F26-H26</f>
        <v>26100</v>
      </c>
      <c r="K26" s="6" t="n">
        <f aca="false">H26/F26*100</f>
        <v>7.4468085106383</v>
      </c>
      <c r="L26" s="6" t="n">
        <f aca="false">C26*0.4+(1-B26/100)*30+I26/50</f>
        <v>30.26</v>
      </c>
      <c r="M26" s="6" t="s">
        <v>40</v>
      </c>
      <c r="N26" s="12" t="n">
        <v>6</v>
      </c>
    </row>
    <row r="27" customFormat="false" ht="15" hidden="false" customHeight="true" outlineLevel="0" collapsed="false">
      <c r="A27" s="8" t="s">
        <v>54</v>
      </c>
      <c r="B27" s="8" t="n">
        <v>60.2</v>
      </c>
      <c r="C27" s="8" t="n">
        <v>31.2</v>
      </c>
      <c r="D27" s="8" t="n">
        <v>8.1</v>
      </c>
      <c r="E27" s="8" t="n">
        <v>0.5</v>
      </c>
      <c r="F27" s="8" t="n">
        <v>28500</v>
      </c>
      <c r="G27" s="8" t="n">
        <v>45</v>
      </c>
      <c r="H27" s="8" t="n">
        <v>2200</v>
      </c>
      <c r="I27" s="8" t="n">
        <v>284</v>
      </c>
      <c r="J27" s="8" t="n">
        <f aca="false">F27-H27</f>
        <v>26300</v>
      </c>
      <c r="K27" s="8" t="n">
        <f aca="false">H27/F27*100</f>
        <v>7.71929824561404</v>
      </c>
      <c r="L27" s="8" t="n">
        <f aca="false">C27*0.4+(1-B27/100)*30+I27/50</f>
        <v>30.1</v>
      </c>
      <c r="M27" s="8" t="s">
        <v>40</v>
      </c>
      <c r="N27" s="12" t="n">
        <v>6</v>
      </c>
    </row>
    <row r="28" customFormat="false" ht="15" hidden="false" customHeight="true" outlineLevel="0" collapsed="false">
      <c r="A28" s="6" t="s">
        <v>55</v>
      </c>
      <c r="B28" s="6" t="n">
        <v>60.4</v>
      </c>
      <c r="C28" s="6" t="n">
        <v>31</v>
      </c>
      <c r="D28" s="6" t="n">
        <v>8.3</v>
      </c>
      <c r="E28" s="6" t="n">
        <v>0.3</v>
      </c>
      <c r="F28" s="6" t="n">
        <v>28700</v>
      </c>
      <c r="G28" s="6" t="n">
        <v>48</v>
      </c>
      <c r="H28" s="6" t="n">
        <v>2350</v>
      </c>
      <c r="I28" s="6" t="n">
        <v>280</v>
      </c>
      <c r="J28" s="6" t="n">
        <f aca="false">F28-H28</f>
        <v>26350</v>
      </c>
      <c r="K28" s="6" t="n">
        <f aca="false">H28/F28*100</f>
        <v>8.18815331010453</v>
      </c>
      <c r="L28" s="6" t="n">
        <f aca="false">C28*0.4+(1-B28/100)*30+I28/50</f>
        <v>29.88</v>
      </c>
      <c r="M28" s="6" t="s">
        <v>40</v>
      </c>
      <c r="N28" s="4" t="n">
        <v>5</v>
      </c>
    </row>
    <row r="29" customFormat="false" ht="15" hidden="false" customHeight="true" outlineLevel="0" collapsed="false">
      <c r="A29" s="8" t="s">
        <v>56</v>
      </c>
      <c r="B29" s="8" t="n">
        <v>60.1</v>
      </c>
      <c r="C29" s="8" t="n">
        <v>31.3</v>
      </c>
      <c r="D29" s="8" t="n">
        <v>8</v>
      </c>
      <c r="E29" s="8" t="n">
        <v>0.6</v>
      </c>
      <c r="F29" s="8" t="n">
        <v>28600</v>
      </c>
      <c r="G29" s="8" t="n">
        <v>50</v>
      </c>
      <c r="H29" s="8" t="n">
        <v>2400</v>
      </c>
      <c r="I29" s="8" t="n">
        <v>283</v>
      </c>
      <c r="J29" s="8" t="n">
        <f aca="false">F29-H29</f>
        <v>26200</v>
      </c>
      <c r="K29" s="8" t="n">
        <f aca="false">H29/F29*100</f>
        <v>8.39160839160839</v>
      </c>
      <c r="L29" s="8" t="n">
        <f aca="false">C29*0.4+(1-B29/100)*30+I29/50</f>
        <v>30.15</v>
      </c>
      <c r="M29" s="8" t="s">
        <v>40</v>
      </c>
      <c r="N29" s="12" t="n">
        <v>6</v>
      </c>
    </row>
    <row r="30" customFormat="false" ht="15" hidden="false" customHeight="true" outlineLevel="0" collapsed="false">
      <c r="A30" s="6" t="s">
        <v>57</v>
      </c>
      <c r="B30" s="6" t="n">
        <v>60.3</v>
      </c>
      <c r="C30" s="6" t="n">
        <v>31.1</v>
      </c>
      <c r="D30" s="6" t="n">
        <v>8.2</v>
      </c>
      <c r="E30" s="6" t="n">
        <v>0.4</v>
      </c>
      <c r="F30" s="6" t="n">
        <v>28400</v>
      </c>
      <c r="G30" s="6" t="n">
        <v>52</v>
      </c>
      <c r="H30" s="6" t="n">
        <v>2420</v>
      </c>
      <c r="I30" s="6" t="n">
        <v>282</v>
      </c>
      <c r="J30" s="6" t="n">
        <f aca="false">F30-H30</f>
        <v>25980</v>
      </c>
      <c r="K30" s="6" t="n">
        <f aca="false">H30/F30*100</f>
        <v>8.52112676056338</v>
      </c>
      <c r="L30" s="6" t="n">
        <f aca="false">C30*0.4+(1-B30/100)*30+I30/50</f>
        <v>29.99</v>
      </c>
      <c r="M30" s="6" t="s">
        <v>40</v>
      </c>
      <c r="N30" s="12" t="n">
        <v>6</v>
      </c>
    </row>
    <row r="31" customFormat="false" ht="15" hidden="false" customHeight="true" outlineLevel="0" collapsed="false">
      <c r="A31" s="8" t="s">
        <v>58</v>
      </c>
      <c r="B31" s="8" t="n">
        <v>63.2</v>
      </c>
      <c r="C31" s="8" t="n">
        <v>26.2</v>
      </c>
      <c r="D31" s="8" t="n">
        <v>10.1</v>
      </c>
      <c r="E31" s="8" t="n">
        <v>0.5</v>
      </c>
      <c r="F31" s="8" t="n">
        <v>28800</v>
      </c>
      <c r="G31" s="8" t="n">
        <v>55</v>
      </c>
      <c r="H31" s="8" t="n">
        <v>2500</v>
      </c>
      <c r="I31" s="8" t="n">
        <v>210</v>
      </c>
      <c r="J31" s="8" t="n">
        <f aca="false">F31-H31</f>
        <v>26300</v>
      </c>
      <c r="K31" s="8" t="n">
        <f aca="false">H31/F31*100</f>
        <v>8.68055555555556</v>
      </c>
      <c r="L31" s="8" t="n">
        <f aca="false">C31*0.4+(1-B31/100)*30+I31/50</f>
        <v>25.72</v>
      </c>
      <c r="M31" s="8" t="s">
        <v>40</v>
      </c>
      <c r="N31" s="10" t="n">
        <v>3</v>
      </c>
    </row>
    <row r="32" customFormat="false" ht="15" hidden="false" customHeight="true" outlineLevel="0" collapsed="false">
      <c r="A32" s="6" t="s">
        <v>59</v>
      </c>
      <c r="B32" s="6" t="n">
        <v>63.5</v>
      </c>
      <c r="C32" s="6" t="n">
        <v>25.9</v>
      </c>
      <c r="D32" s="6" t="n">
        <v>9.9</v>
      </c>
      <c r="E32" s="6" t="n">
        <v>0.7</v>
      </c>
      <c r="F32" s="6" t="n">
        <v>29000</v>
      </c>
      <c r="G32" s="6" t="n">
        <v>56.5</v>
      </c>
      <c r="H32" s="6" t="n">
        <v>2520</v>
      </c>
      <c r="I32" s="6" t="n">
        <v>200</v>
      </c>
      <c r="J32" s="6" t="n">
        <f aca="false">F32-H32</f>
        <v>26480</v>
      </c>
      <c r="K32" s="6" t="n">
        <f aca="false">H32/F32*100</f>
        <v>8.68965517241379</v>
      </c>
      <c r="L32" s="6" t="n">
        <f aca="false">C32*0.4+(1-B32/100)*30+I32/50</f>
        <v>25.31</v>
      </c>
      <c r="M32" s="6" t="s">
        <v>40</v>
      </c>
      <c r="N32" s="10" t="n">
        <v>3</v>
      </c>
    </row>
    <row r="33" customFormat="false" ht="15" hidden="false" customHeight="true" outlineLevel="0" collapsed="false">
      <c r="A33" s="8" t="s">
        <v>60</v>
      </c>
      <c r="B33" s="8" t="n">
        <v>63.9</v>
      </c>
      <c r="C33" s="8" t="n">
        <v>25.6</v>
      </c>
      <c r="D33" s="8" t="n">
        <v>10</v>
      </c>
      <c r="E33" s="8" t="n">
        <v>0.5</v>
      </c>
      <c r="F33" s="8" t="n">
        <v>29100</v>
      </c>
      <c r="G33" s="8" t="n">
        <v>57</v>
      </c>
      <c r="H33" s="8" t="n">
        <v>2550</v>
      </c>
      <c r="I33" s="8" t="n">
        <v>195</v>
      </c>
      <c r="J33" s="8" t="n">
        <f aca="false">F33-H33</f>
        <v>26550</v>
      </c>
      <c r="K33" s="8" t="n">
        <f aca="false">H33/F33*100</f>
        <v>8.76288659793814</v>
      </c>
      <c r="L33" s="8" t="n">
        <f aca="false">C33*0.4+(1-B33/100)*30+I33/50</f>
        <v>24.97</v>
      </c>
      <c r="M33" s="8" t="s">
        <v>40</v>
      </c>
      <c r="N33" s="10" t="n">
        <v>3</v>
      </c>
    </row>
    <row r="34" customFormat="false" ht="15" hidden="false" customHeight="true" outlineLevel="0" collapsed="false">
      <c r="A34" s="6" t="s">
        <v>61</v>
      </c>
      <c r="B34" s="6" t="n">
        <v>64.1</v>
      </c>
      <c r="C34" s="6" t="n">
        <v>25.4</v>
      </c>
      <c r="D34" s="6" t="n">
        <v>9.8</v>
      </c>
      <c r="E34" s="6" t="n">
        <v>0.7</v>
      </c>
      <c r="F34" s="6" t="n">
        <v>28900</v>
      </c>
      <c r="G34" s="6" t="n">
        <v>58</v>
      </c>
      <c r="H34" s="6" t="n">
        <v>2580</v>
      </c>
      <c r="I34" s="6" t="n">
        <v>190</v>
      </c>
      <c r="J34" s="6" t="n">
        <f aca="false">F34-H34</f>
        <v>26320</v>
      </c>
      <c r="K34" s="6" t="n">
        <f aca="false">H34/F34*100</f>
        <v>8.92733564013841</v>
      </c>
      <c r="L34" s="6" t="n">
        <f aca="false">C34*0.4+(1-B34/100)*30+I34/50</f>
        <v>24.73</v>
      </c>
      <c r="M34" s="6" t="s">
        <v>40</v>
      </c>
      <c r="N34" s="10" t="n">
        <v>3</v>
      </c>
    </row>
    <row r="35" customFormat="false" ht="15" hidden="false" customHeight="true" outlineLevel="0" collapsed="false">
      <c r="A35" s="8" t="s">
        <v>62</v>
      </c>
      <c r="B35" s="8" t="n">
        <v>65.8</v>
      </c>
      <c r="C35" s="8" t="n">
        <v>21.5</v>
      </c>
      <c r="D35" s="8" t="n">
        <v>12.3</v>
      </c>
      <c r="E35" s="8" t="n">
        <v>0.4</v>
      </c>
      <c r="F35" s="8" t="n">
        <v>28600</v>
      </c>
      <c r="G35" s="8" t="n">
        <v>48</v>
      </c>
      <c r="H35" s="8" t="n">
        <v>2400</v>
      </c>
      <c r="I35" s="8" t="n">
        <v>130</v>
      </c>
      <c r="J35" s="8" t="n">
        <f aca="false">F35-H35</f>
        <v>26200</v>
      </c>
      <c r="K35" s="8" t="n">
        <f aca="false">H35/F35*100</f>
        <v>8.39160839160839</v>
      </c>
      <c r="L35" s="8" t="n">
        <f aca="false">C35*0.4+(1-B35/100)*30+I35/50</f>
        <v>21.46</v>
      </c>
      <c r="M35" s="8" t="s">
        <v>40</v>
      </c>
      <c r="N35" s="7" t="n">
        <v>2</v>
      </c>
    </row>
    <row r="36" customFormat="false" ht="15" hidden="false" customHeight="true" outlineLevel="0" collapsed="false">
      <c r="A36" s="6" t="s">
        <v>63</v>
      </c>
      <c r="B36" s="6" t="n">
        <v>66</v>
      </c>
      <c r="C36" s="6" t="n">
        <v>21.4</v>
      </c>
      <c r="D36" s="6" t="n">
        <v>12.2</v>
      </c>
      <c r="E36" s="6" t="n">
        <v>0.4</v>
      </c>
      <c r="F36" s="6" t="n">
        <v>28400</v>
      </c>
      <c r="G36" s="6" t="n">
        <v>47.5</v>
      </c>
      <c r="H36" s="6" t="n">
        <v>2380</v>
      </c>
      <c r="I36" s="6" t="n">
        <v>125</v>
      </c>
      <c r="J36" s="6" t="n">
        <f aca="false">F36-H36</f>
        <v>26020</v>
      </c>
      <c r="K36" s="6" t="n">
        <f aca="false">H36/F36*100</f>
        <v>8.38028169014084</v>
      </c>
      <c r="L36" s="6" t="n">
        <f aca="false">C36*0.4+(1-B36/100)*30+I36/50</f>
        <v>21.26</v>
      </c>
      <c r="M36" s="6" t="s">
        <v>40</v>
      </c>
      <c r="N36" s="7" t="n">
        <v>2</v>
      </c>
    </row>
    <row r="37" customFormat="false" ht="15" hidden="false" customHeight="true" outlineLevel="0" collapsed="false">
      <c r="A37" s="8" t="s">
        <v>64</v>
      </c>
      <c r="B37" s="8" t="n">
        <v>66.3</v>
      </c>
      <c r="C37" s="8" t="n">
        <v>21.2</v>
      </c>
      <c r="D37" s="8" t="n">
        <v>12.1</v>
      </c>
      <c r="E37" s="8" t="n">
        <v>0.4</v>
      </c>
      <c r="F37" s="8" t="n">
        <v>28200</v>
      </c>
      <c r="G37" s="8" t="n">
        <v>47</v>
      </c>
      <c r="H37" s="8" t="n">
        <v>2360</v>
      </c>
      <c r="I37" s="8" t="n">
        <v>120</v>
      </c>
      <c r="J37" s="8" t="n">
        <f aca="false">F37-H37</f>
        <v>25840</v>
      </c>
      <c r="K37" s="8" t="n">
        <f aca="false">H37/F37*100</f>
        <v>8.36879432624114</v>
      </c>
      <c r="L37" s="8" t="n">
        <f aca="false">C37*0.4+(1-B37/100)*30+I37/50</f>
        <v>20.99</v>
      </c>
      <c r="M37" s="8" t="s">
        <v>40</v>
      </c>
      <c r="N37" s="11" t="n">
        <v>1</v>
      </c>
    </row>
    <row r="38" customFormat="false" ht="15" hidden="false" customHeight="true" outlineLevel="0" collapsed="false">
      <c r="A38" s="6" t="s">
        <v>65</v>
      </c>
      <c r="B38" s="6" t="n">
        <v>66.5</v>
      </c>
      <c r="C38" s="6" t="n">
        <v>21.1</v>
      </c>
      <c r="D38" s="6" t="n">
        <v>12</v>
      </c>
      <c r="E38" s="6" t="n">
        <v>0.4</v>
      </c>
      <c r="F38" s="6" t="n">
        <v>28000</v>
      </c>
      <c r="G38" s="6" t="n">
        <v>46.5</v>
      </c>
      <c r="H38" s="6" t="n">
        <v>2340</v>
      </c>
      <c r="I38" s="6" t="n">
        <v>115</v>
      </c>
      <c r="J38" s="6" t="n">
        <f aca="false">F38-H38</f>
        <v>25660</v>
      </c>
      <c r="K38" s="6" t="n">
        <f aca="false">H38/F38*100</f>
        <v>8.35714285714286</v>
      </c>
      <c r="L38" s="6" t="n">
        <f aca="false">C38*0.4+(1-B38/100)*30+I38/50</f>
        <v>20.79</v>
      </c>
      <c r="M38" s="6" t="s">
        <v>40</v>
      </c>
      <c r="N38" s="11" t="n">
        <v>1</v>
      </c>
    </row>
    <row r="39" customFormat="false" ht="15" hidden="false" customHeight="true" outlineLevel="0" collapsed="false">
      <c r="A39" s="8" t="s">
        <v>66</v>
      </c>
      <c r="B39" s="8" t="n">
        <v>66.4</v>
      </c>
      <c r="C39" s="8" t="n">
        <v>21.3</v>
      </c>
      <c r="D39" s="8" t="n">
        <v>12.2</v>
      </c>
      <c r="E39" s="8" t="n">
        <v>0.1</v>
      </c>
      <c r="F39" s="8" t="n">
        <v>27800</v>
      </c>
      <c r="G39" s="8" t="n">
        <v>46</v>
      </c>
      <c r="H39" s="8" t="n">
        <v>2320</v>
      </c>
      <c r="I39" s="8" t="n">
        <v>118</v>
      </c>
      <c r="J39" s="8" t="n">
        <f aca="false">F39-H39</f>
        <v>25480</v>
      </c>
      <c r="K39" s="8" t="n">
        <f aca="false">H39/F39*100</f>
        <v>8.3453237410072</v>
      </c>
      <c r="L39" s="8" t="n">
        <f aca="false">C39*0.4+(1-B39/100)*30+I39/50</f>
        <v>20.96</v>
      </c>
      <c r="M39" s="8" t="s">
        <v>67</v>
      </c>
      <c r="N39" s="11" t="n">
        <v>1</v>
      </c>
    </row>
    <row r="40" customFormat="false" ht="15" hidden="false" customHeight="true" outlineLevel="0" collapsed="false">
      <c r="A40" s="6" t="s">
        <v>68</v>
      </c>
      <c r="B40" s="6" t="n">
        <v>69.8</v>
      </c>
      <c r="C40" s="6" t="n">
        <v>18.6</v>
      </c>
      <c r="D40" s="6" t="n">
        <v>11.1</v>
      </c>
      <c r="E40" s="6" t="n">
        <v>0.5</v>
      </c>
      <c r="F40" s="6" t="n">
        <v>27200</v>
      </c>
      <c r="G40" s="6" t="n">
        <v>43</v>
      </c>
      <c r="H40" s="6" t="n">
        <v>2200</v>
      </c>
      <c r="I40" s="6" t="n">
        <v>80</v>
      </c>
      <c r="J40" s="6" t="n">
        <f aca="false">F40-H40</f>
        <v>25000</v>
      </c>
      <c r="K40" s="6" t="n">
        <f aca="false">H40/F40*100</f>
        <v>8.08823529411765</v>
      </c>
      <c r="L40" s="6" t="n">
        <f aca="false">C40*0.4+(1-B40/100)*30+I40/50</f>
        <v>18.1</v>
      </c>
      <c r="M40" s="6" t="s">
        <v>67</v>
      </c>
      <c r="N40" s="11" t="n">
        <v>1</v>
      </c>
    </row>
    <row r="41" customFormat="false" ht="15" hidden="false" customHeight="true" outlineLevel="0" collapsed="false">
      <c r="A41" s="8" t="s">
        <v>69</v>
      </c>
      <c r="B41" s="8" t="n">
        <v>70</v>
      </c>
      <c r="C41" s="8" t="n">
        <v>18.4</v>
      </c>
      <c r="D41" s="8" t="n">
        <v>11</v>
      </c>
      <c r="E41" s="8" t="n">
        <v>0.6</v>
      </c>
      <c r="F41" s="8" t="n">
        <v>27000</v>
      </c>
      <c r="G41" s="8" t="n">
        <v>42.5</v>
      </c>
      <c r="H41" s="8" t="n">
        <v>2180</v>
      </c>
      <c r="I41" s="8" t="n">
        <v>75</v>
      </c>
      <c r="J41" s="8" t="n">
        <f aca="false">F41-H41</f>
        <v>24820</v>
      </c>
      <c r="K41" s="8" t="n">
        <f aca="false">H41/F41*100</f>
        <v>8.07407407407407</v>
      </c>
      <c r="L41" s="8" t="n">
        <f aca="false">C41*0.4+(1-B41/100)*30+I41/50</f>
        <v>17.86</v>
      </c>
      <c r="M41" s="8" t="s">
        <v>67</v>
      </c>
      <c r="N41" s="11" t="n">
        <v>1</v>
      </c>
    </row>
    <row r="42" customFormat="false" ht="15" hidden="false" customHeight="true" outlineLevel="0" collapsed="false">
      <c r="A42" s="6" t="s">
        <v>70</v>
      </c>
      <c r="B42" s="6" t="n">
        <v>70.3</v>
      </c>
      <c r="C42" s="6" t="n">
        <v>18.2</v>
      </c>
      <c r="D42" s="6" t="n">
        <v>10.9</v>
      </c>
      <c r="E42" s="6" t="n">
        <v>0.6</v>
      </c>
      <c r="F42" s="6" t="n">
        <v>26800</v>
      </c>
      <c r="G42" s="6" t="n">
        <v>42</v>
      </c>
      <c r="H42" s="6" t="n">
        <v>2160</v>
      </c>
      <c r="I42" s="6" t="n">
        <v>70</v>
      </c>
      <c r="J42" s="6" t="n">
        <f aca="false">F42-H42</f>
        <v>24640</v>
      </c>
      <c r="K42" s="6" t="n">
        <f aca="false">H42/F42*100</f>
        <v>8.05970149253731</v>
      </c>
      <c r="L42" s="6" t="n">
        <f aca="false">C42*0.4+(1-B42/100)*30+I42/50</f>
        <v>17.59</v>
      </c>
      <c r="M42" s="6" t="s">
        <v>67</v>
      </c>
      <c r="N42" s="11" t="n">
        <v>1</v>
      </c>
    </row>
    <row r="43" customFormat="false" ht="15" hidden="false" customHeight="true" outlineLevel="0" collapsed="false">
      <c r="A43" s="8" t="s">
        <v>71</v>
      </c>
      <c r="B43" s="8" t="n">
        <v>70.5</v>
      </c>
      <c r="C43" s="8" t="n">
        <v>18.1</v>
      </c>
      <c r="D43" s="8" t="n">
        <v>10.8</v>
      </c>
      <c r="E43" s="8" t="n">
        <v>0.6</v>
      </c>
      <c r="F43" s="8" t="n">
        <v>26600</v>
      </c>
      <c r="G43" s="8" t="n">
        <v>41.5</v>
      </c>
      <c r="H43" s="8" t="n">
        <v>2140</v>
      </c>
      <c r="I43" s="8" t="n">
        <v>65</v>
      </c>
      <c r="J43" s="8" t="n">
        <f aca="false">F43-H43</f>
        <v>24460</v>
      </c>
      <c r="K43" s="8" t="n">
        <f aca="false">H43/F43*100</f>
        <v>8.04511278195489</v>
      </c>
      <c r="L43" s="8" t="n">
        <f aca="false">C43*0.4+(1-B43/100)*30+I43/50</f>
        <v>17.39</v>
      </c>
      <c r="M43" s="8" t="s">
        <v>67</v>
      </c>
      <c r="N43" s="11" t="n">
        <v>1</v>
      </c>
    </row>
    <row r="44" customFormat="false" ht="15" hidden="false" customHeight="true" outlineLevel="0" collapsed="false">
      <c r="A44" s="6" t="s">
        <v>72</v>
      </c>
      <c r="B44" s="6" t="n">
        <v>65.4</v>
      </c>
      <c r="C44" s="6" t="n">
        <v>22</v>
      </c>
      <c r="D44" s="6" t="n">
        <v>12.3</v>
      </c>
      <c r="E44" s="6" t="n">
        <v>0.3</v>
      </c>
      <c r="F44" s="6" t="n">
        <v>25800</v>
      </c>
      <c r="G44" s="6" t="n">
        <v>38</v>
      </c>
      <c r="H44" s="6" t="n">
        <v>2000</v>
      </c>
      <c r="I44" s="6" t="n">
        <v>100</v>
      </c>
      <c r="J44" s="6" t="n">
        <f aca="false">F44-H44</f>
        <v>23800</v>
      </c>
      <c r="K44" s="6" t="n">
        <f aca="false">H44/F44*100</f>
        <v>7.75193798449612</v>
      </c>
      <c r="L44" s="6" t="n">
        <f aca="false">C44*0.4+(1-B44/100)*30+I44/50</f>
        <v>21.18</v>
      </c>
      <c r="M44" s="6" t="s">
        <v>67</v>
      </c>
      <c r="N44" s="11" t="n">
        <v>1</v>
      </c>
    </row>
    <row r="45" customFormat="false" ht="15" hidden="false" customHeight="true" outlineLevel="0" collapsed="false">
      <c r="A45" s="8" t="s">
        <v>73</v>
      </c>
      <c r="B45" s="8" t="n">
        <v>65.6</v>
      </c>
      <c r="C45" s="8" t="n">
        <v>21.9</v>
      </c>
      <c r="D45" s="8" t="n">
        <v>12.2</v>
      </c>
      <c r="E45" s="8" t="n">
        <v>0.3</v>
      </c>
      <c r="F45" s="8" t="n">
        <v>25600</v>
      </c>
      <c r="G45" s="8" t="n">
        <v>37.5</v>
      </c>
      <c r="H45" s="8" t="n">
        <v>1980</v>
      </c>
      <c r="I45" s="8" t="n">
        <v>95</v>
      </c>
      <c r="J45" s="8" t="n">
        <f aca="false">F45-H45</f>
        <v>23620</v>
      </c>
      <c r="K45" s="8" t="n">
        <f aca="false">H45/F45*100</f>
        <v>7.734375</v>
      </c>
      <c r="L45" s="8" t="n">
        <f aca="false">C45*0.4+(1-B45/100)*30+I45/50</f>
        <v>20.98</v>
      </c>
      <c r="M45" s="8" t="s">
        <v>67</v>
      </c>
      <c r="N45" s="11" t="n">
        <v>1</v>
      </c>
    </row>
    <row r="46" customFormat="false" ht="15" hidden="false" customHeight="true" outlineLevel="0" collapsed="false">
      <c r="A46" s="6" t="s">
        <v>74</v>
      </c>
      <c r="B46" s="6" t="n">
        <v>65.8</v>
      </c>
      <c r="C46" s="6" t="n">
        <v>21.8</v>
      </c>
      <c r="D46" s="6" t="n">
        <v>12.1</v>
      </c>
      <c r="E46" s="6" t="n">
        <v>0.3</v>
      </c>
      <c r="F46" s="6" t="n">
        <v>25400</v>
      </c>
      <c r="G46" s="6" t="n">
        <v>37</v>
      </c>
      <c r="H46" s="6" t="n">
        <v>1960</v>
      </c>
      <c r="I46" s="6" t="n">
        <v>92</v>
      </c>
      <c r="J46" s="6" t="n">
        <f aca="false">F46-H46</f>
        <v>23440</v>
      </c>
      <c r="K46" s="6" t="n">
        <f aca="false">H46/F46*100</f>
        <v>7.71653543307087</v>
      </c>
      <c r="L46" s="6" t="n">
        <f aca="false">C46*0.4+(1-B46/100)*30+I46/50</f>
        <v>20.82</v>
      </c>
      <c r="M46" s="6" t="s">
        <v>67</v>
      </c>
      <c r="N46" s="11" t="n">
        <v>1</v>
      </c>
    </row>
    <row r="47" customFormat="false" ht="15" hidden="false" customHeight="true" outlineLevel="0" collapsed="false">
      <c r="A47" s="8" t="s">
        <v>75</v>
      </c>
      <c r="B47" s="8" t="n">
        <v>65.9</v>
      </c>
      <c r="C47" s="8" t="n">
        <v>21.7</v>
      </c>
      <c r="D47" s="8" t="n">
        <v>12</v>
      </c>
      <c r="E47" s="8" t="n">
        <v>0.4</v>
      </c>
      <c r="F47" s="8" t="n">
        <v>25200</v>
      </c>
      <c r="G47" s="8" t="n">
        <v>36.5</v>
      </c>
      <c r="H47" s="8" t="n">
        <v>1940</v>
      </c>
      <c r="I47" s="8" t="n">
        <v>90</v>
      </c>
      <c r="J47" s="8" t="n">
        <f aca="false">F47-H47</f>
        <v>23260</v>
      </c>
      <c r="K47" s="8" t="n">
        <f aca="false">H47/F47*100</f>
        <v>7.6984126984127</v>
      </c>
      <c r="L47" s="8" t="n">
        <f aca="false">C47*0.4+(1-B47/100)*30+I47/50</f>
        <v>20.71</v>
      </c>
      <c r="M47" s="8" t="s">
        <v>67</v>
      </c>
      <c r="N47" s="11" t="n">
        <v>1</v>
      </c>
    </row>
    <row r="48" customFormat="false" ht="15" hidden="false" customHeight="true" outlineLevel="0" collapsed="false">
      <c r="A48" s="6" t="s">
        <v>76</v>
      </c>
      <c r="B48" s="6" t="n">
        <v>68</v>
      </c>
      <c r="C48" s="6" t="n">
        <v>19.2</v>
      </c>
      <c r="D48" s="6" t="n">
        <v>12.5</v>
      </c>
      <c r="E48" s="6" t="n">
        <v>0.3</v>
      </c>
      <c r="F48" s="6" t="n">
        <v>25500</v>
      </c>
      <c r="G48" s="6" t="n">
        <v>35</v>
      </c>
      <c r="H48" s="6" t="n">
        <v>1900</v>
      </c>
      <c r="I48" s="6" t="n">
        <v>95</v>
      </c>
      <c r="J48" s="6" t="n">
        <f aca="false">F48-H48</f>
        <v>23600</v>
      </c>
      <c r="K48" s="6" t="n">
        <f aca="false">H48/F48*100</f>
        <v>7.45098039215686</v>
      </c>
      <c r="L48" s="6" t="n">
        <f aca="false">C48*0.4+(1-B48/100)*30+I48/50</f>
        <v>19.18</v>
      </c>
      <c r="M48" s="6" t="s">
        <v>77</v>
      </c>
      <c r="N48" s="11" t="n">
        <v>1</v>
      </c>
    </row>
    <row r="49" customFormat="false" ht="15" hidden="false" customHeight="true" outlineLevel="0" collapsed="false">
      <c r="A49" s="8" t="s">
        <v>78</v>
      </c>
      <c r="B49" s="8" t="n">
        <v>68.2</v>
      </c>
      <c r="C49" s="8" t="n">
        <v>19.1</v>
      </c>
      <c r="D49" s="8" t="n">
        <v>12.4</v>
      </c>
      <c r="E49" s="8" t="n">
        <v>0.3</v>
      </c>
      <c r="F49" s="8" t="n">
        <v>25300</v>
      </c>
      <c r="G49" s="8" t="n">
        <v>34.5</v>
      </c>
      <c r="H49" s="8" t="n">
        <v>1880</v>
      </c>
      <c r="I49" s="8" t="n">
        <v>92</v>
      </c>
      <c r="J49" s="8" t="n">
        <f aca="false">F49-H49</f>
        <v>23420</v>
      </c>
      <c r="K49" s="8" t="n">
        <f aca="false">H49/F49*100</f>
        <v>7.43083003952569</v>
      </c>
      <c r="L49" s="8" t="n">
        <f aca="false">C49*0.4+(1-B49/100)*30+I49/50</f>
        <v>19.02</v>
      </c>
      <c r="M49" s="8" t="s">
        <v>77</v>
      </c>
      <c r="N49" s="11" t="n">
        <v>1</v>
      </c>
    </row>
    <row r="50" customFormat="false" ht="15" hidden="false" customHeight="true" outlineLevel="0" collapsed="false">
      <c r="A50" s="6" t="s">
        <v>79</v>
      </c>
      <c r="B50" s="6" t="n">
        <v>68.4</v>
      </c>
      <c r="C50" s="6" t="n">
        <v>19</v>
      </c>
      <c r="D50" s="6" t="n">
        <v>12.3</v>
      </c>
      <c r="E50" s="6" t="n">
        <v>0.3</v>
      </c>
      <c r="F50" s="6" t="n">
        <v>25100</v>
      </c>
      <c r="G50" s="6" t="n">
        <v>34</v>
      </c>
      <c r="H50" s="6" t="n">
        <v>1860</v>
      </c>
      <c r="I50" s="6" t="n">
        <v>90</v>
      </c>
      <c r="J50" s="6" t="n">
        <f aca="false">F50-H50</f>
        <v>23240</v>
      </c>
      <c r="K50" s="6" t="n">
        <f aca="false">H50/F50*100</f>
        <v>7.41035856573705</v>
      </c>
      <c r="L50" s="6" t="n">
        <f aca="false">C50*0.4+(1-B50/100)*30+I50/50</f>
        <v>18.88</v>
      </c>
      <c r="M50" s="6" t="s">
        <v>77</v>
      </c>
      <c r="N50" s="11" t="n">
        <v>1</v>
      </c>
    </row>
    <row r="51" customFormat="false" ht="15" hidden="false" customHeight="true" outlineLevel="0" collapsed="false">
      <c r="A51" s="8" t="s">
        <v>80</v>
      </c>
      <c r="B51" s="8" t="n">
        <v>68.3</v>
      </c>
      <c r="C51" s="8" t="n">
        <v>19.2</v>
      </c>
      <c r="D51" s="8" t="n">
        <v>12.5</v>
      </c>
      <c r="E51" s="8" t="n">
        <v>0</v>
      </c>
      <c r="F51" s="8" t="n">
        <v>24900</v>
      </c>
      <c r="G51" s="8" t="n">
        <v>33.5</v>
      </c>
      <c r="H51" s="8" t="n">
        <v>1840</v>
      </c>
      <c r="I51" s="8" t="n">
        <v>88</v>
      </c>
      <c r="J51" s="8" t="n">
        <f aca="false">F51-H51</f>
        <v>23060</v>
      </c>
      <c r="K51" s="8" t="n">
        <f aca="false">H51/F51*100</f>
        <v>7.38955823293173</v>
      </c>
      <c r="L51" s="8" t="n">
        <f aca="false">C51*0.4+(1-B51/100)*30+I51/50</f>
        <v>18.95</v>
      </c>
      <c r="M51" s="8" t="s">
        <v>77</v>
      </c>
      <c r="N51" s="11" t="n">
        <v>1</v>
      </c>
    </row>
    <row r="52" customFormat="false" ht="15" hidden="false" customHeight="true" outlineLevel="0" collapsed="false">
      <c r="A52" s="6" t="s">
        <v>81</v>
      </c>
      <c r="B52" s="6" t="n">
        <v>68.1</v>
      </c>
      <c r="C52" s="6" t="n">
        <v>19.1</v>
      </c>
      <c r="D52" s="6" t="n">
        <v>12.4</v>
      </c>
      <c r="E52" s="6" t="n">
        <v>0.4</v>
      </c>
      <c r="F52" s="6" t="n">
        <v>24700</v>
      </c>
      <c r="G52" s="6" t="n">
        <v>33</v>
      </c>
      <c r="H52" s="6" t="n">
        <v>1820</v>
      </c>
      <c r="I52" s="6" t="n">
        <v>86</v>
      </c>
      <c r="J52" s="6" t="n">
        <f aca="false">F52-H52</f>
        <v>22880</v>
      </c>
      <c r="K52" s="6" t="n">
        <f aca="false">H52/F52*100</f>
        <v>7.36842105263158</v>
      </c>
      <c r="L52" s="6" t="n">
        <f aca="false">C52*0.4+(1-B52/100)*30+I52/50</f>
        <v>18.93</v>
      </c>
      <c r="M52" s="6" t="s">
        <v>77</v>
      </c>
      <c r="N52" s="11" t="n">
        <v>1</v>
      </c>
    </row>
    <row r="53" customFormat="false" ht="15" hidden="false" customHeight="true" outlineLevel="0" collapsed="false">
      <c r="A53" s="8" t="s">
        <v>82</v>
      </c>
      <c r="B53" s="8" t="n">
        <v>68.7</v>
      </c>
      <c r="C53" s="8" t="n">
        <v>20</v>
      </c>
      <c r="D53" s="8" t="n">
        <v>11</v>
      </c>
      <c r="E53" s="8" t="n">
        <v>0.3</v>
      </c>
      <c r="F53" s="8" t="n">
        <v>24200</v>
      </c>
      <c r="G53" s="8" t="n">
        <v>32</v>
      </c>
      <c r="H53" s="8" t="n">
        <v>1780</v>
      </c>
      <c r="I53" s="8" t="n">
        <v>100</v>
      </c>
      <c r="J53" s="8" t="n">
        <f aca="false">F53-H53</f>
        <v>22420</v>
      </c>
      <c r="K53" s="8" t="n">
        <f aca="false">H53/F53*100</f>
        <v>7.35537190082645</v>
      </c>
      <c r="L53" s="8" t="n">
        <f aca="false">C53*0.4+(1-B53/100)*30+I53/50</f>
        <v>19.39</v>
      </c>
      <c r="M53" s="8" t="s">
        <v>77</v>
      </c>
      <c r="N53" s="11" t="n">
        <v>1</v>
      </c>
    </row>
    <row r="54" customFormat="false" ht="15" hidden="false" customHeight="true" outlineLevel="0" collapsed="false">
      <c r="A54" s="6" t="s">
        <v>83</v>
      </c>
      <c r="B54" s="6" t="n">
        <v>68.9</v>
      </c>
      <c r="C54" s="6" t="n">
        <v>19.9</v>
      </c>
      <c r="D54" s="6" t="n">
        <v>10.9</v>
      </c>
      <c r="E54" s="6" t="n">
        <v>0.2</v>
      </c>
      <c r="F54" s="6" t="n">
        <v>23800</v>
      </c>
      <c r="G54" s="6" t="n">
        <v>31.5</v>
      </c>
      <c r="H54" s="6" t="n">
        <v>1760</v>
      </c>
      <c r="I54" s="6" t="n">
        <v>98</v>
      </c>
      <c r="J54" s="6" t="n">
        <f aca="false">F54-H54</f>
        <v>22040</v>
      </c>
      <c r="K54" s="6" t="n">
        <f aca="false">H54/F54*100</f>
        <v>7.39495798319328</v>
      </c>
      <c r="L54" s="6" t="n">
        <f aca="false">C54*0.4+(1-B54/100)*30+I54/50</f>
        <v>19.25</v>
      </c>
      <c r="M54" s="6" t="s">
        <v>77</v>
      </c>
      <c r="N54" s="11" t="n">
        <v>1</v>
      </c>
    </row>
    <row r="55" customFormat="false" ht="15" hidden="false" customHeight="true" outlineLevel="0" collapsed="false">
      <c r="A55" s="8" t="s">
        <v>84</v>
      </c>
      <c r="B55" s="8" t="n">
        <v>69</v>
      </c>
      <c r="C55" s="8" t="n">
        <v>19.7</v>
      </c>
      <c r="D55" s="8" t="n">
        <v>10.8</v>
      </c>
      <c r="E55" s="8" t="n">
        <v>0.5</v>
      </c>
      <c r="F55" s="8" t="n">
        <v>23200</v>
      </c>
      <c r="G55" s="8" t="n">
        <v>31</v>
      </c>
      <c r="H55" s="8" t="n">
        <v>1740</v>
      </c>
      <c r="I55" s="8" t="n">
        <v>94</v>
      </c>
      <c r="J55" s="8" t="n">
        <f aca="false">F55-H55</f>
        <v>21460</v>
      </c>
      <c r="K55" s="8" t="n">
        <f aca="false">H55/F55*100</f>
        <v>7.5</v>
      </c>
      <c r="L55" s="8" t="n">
        <f aca="false">C55*0.4+(1-B55/100)*30+I55/50</f>
        <v>19.06</v>
      </c>
      <c r="M55" s="8" t="s">
        <v>77</v>
      </c>
      <c r="N55" s="11" t="n">
        <v>1</v>
      </c>
    </row>
    <row r="56" customFormat="false" ht="15" hidden="false" customHeight="true" outlineLevel="0" collapsed="false">
      <c r="A56" s="6" t="s">
        <v>85</v>
      </c>
      <c r="B56" s="6" t="n">
        <v>68.8</v>
      </c>
      <c r="C56" s="6" t="n">
        <v>20</v>
      </c>
      <c r="D56" s="6" t="n">
        <v>11</v>
      </c>
      <c r="E56" s="6" t="n">
        <v>0.2</v>
      </c>
      <c r="F56" s="6" t="n">
        <v>22800</v>
      </c>
      <c r="G56" s="6" t="n">
        <v>30.5</v>
      </c>
      <c r="H56" s="6" t="n">
        <v>1720</v>
      </c>
      <c r="I56" s="6" t="n">
        <v>90</v>
      </c>
      <c r="J56" s="6" t="n">
        <f aca="false">F56-H56</f>
        <v>21080</v>
      </c>
      <c r="K56" s="6" t="n">
        <f aca="false">H56/F56*100</f>
        <v>7.54385964912281</v>
      </c>
      <c r="L56" s="6" t="n">
        <f aca="false">C56*0.4+(1-B56/100)*30+I56/50</f>
        <v>19.16</v>
      </c>
      <c r="M56" s="6" t="s">
        <v>77</v>
      </c>
      <c r="N56" s="11" t="n">
        <v>1</v>
      </c>
    </row>
    <row r="57" customFormat="false" ht="15" hidden="false" customHeight="true" outlineLevel="0" collapsed="false">
      <c r="A57" s="8" t="s">
        <v>86</v>
      </c>
      <c r="B57" s="8" t="n">
        <v>70.8</v>
      </c>
      <c r="C57" s="8" t="n">
        <v>17.4</v>
      </c>
      <c r="D57" s="8" t="n">
        <v>11.5</v>
      </c>
      <c r="E57" s="8" t="n">
        <v>0.3</v>
      </c>
      <c r="F57" s="8" t="n">
        <v>24500</v>
      </c>
      <c r="G57" s="8" t="n">
        <v>33</v>
      </c>
      <c r="H57" s="8" t="n">
        <v>1850</v>
      </c>
      <c r="I57" s="8" t="n">
        <v>94</v>
      </c>
      <c r="J57" s="8" t="n">
        <f aca="false">F57-H57</f>
        <v>22650</v>
      </c>
      <c r="K57" s="8" t="n">
        <f aca="false">H57/F57*100</f>
        <v>7.55102040816327</v>
      </c>
      <c r="L57" s="8" t="n">
        <f aca="false">C57*0.4+(1-B57/100)*30+I57/50</f>
        <v>17.6</v>
      </c>
      <c r="M57" s="8" t="s">
        <v>77</v>
      </c>
      <c r="N57" s="11" t="n">
        <v>1</v>
      </c>
    </row>
    <row r="58" customFormat="false" ht="15" hidden="false" customHeight="true" outlineLevel="0" collapsed="false">
      <c r="A58" s="6" t="s">
        <v>87</v>
      </c>
      <c r="B58" s="6" t="n">
        <v>71</v>
      </c>
      <c r="C58" s="6" t="n">
        <v>17.2</v>
      </c>
      <c r="D58" s="6" t="n">
        <v>11.4</v>
      </c>
      <c r="E58" s="6" t="n">
        <v>0.4</v>
      </c>
      <c r="F58" s="6" t="n">
        <v>24700</v>
      </c>
      <c r="G58" s="6" t="n">
        <v>33.5</v>
      </c>
      <c r="H58" s="6" t="n">
        <v>1870</v>
      </c>
      <c r="I58" s="6" t="n">
        <v>92</v>
      </c>
      <c r="J58" s="6" t="n">
        <f aca="false">F58-H58</f>
        <v>22830</v>
      </c>
      <c r="K58" s="6" t="n">
        <f aca="false">H58/F58*100</f>
        <v>7.57085020242915</v>
      </c>
      <c r="L58" s="6" t="n">
        <f aca="false">C58*0.4+(1-B58/100)*30+I58/50</f>
        <v>17.42</v>
      </c>
      <c r="M58" s="6" t="s">
        <v>77</v>
      </c>
      <c r="N58" s="11" t="n">
        <v>1</v>
      </c>
    </row>
    <row r="59" customFormat="false" ht="15" hidden="false" customHeight="true" outlineLevel="0" collapsed="false">
      <c r="A59" s="8" t="s">
        <v>88</v>
      </c>
      <c r="B59" s="8" t="n">
        <v>71.2</v>
      </c>
      <c r="C59" s="8" t="n">
        <v>17</v>
      </c>
      <c r="D59" s="8" t="n">
        <v>11.3</v>
      </c>
      <c r="E59" s="8" t="n">
        <v>0.5</v>
      </c>
      <c r="F59" s="8" t="n">
        <v>24600</v>
      </c>
      <c r="G59" s="8" t="n">
        <v>34</v>
      </c>
      <c r="H59" s="8" t="n">
        <v>1890</v>
      </c>
      <c r="I59" s="8" t="n">
        <v>90</v>
      </c>
      <c r="J59" s="8" t="n">
        <f aca="false">F59-H59</f>
        <v>22710</v>
      </c>
      <c r="K59" s="8" t="n">
        <f aca="false">H59/F59*100</f>
        <v>7.68292682926829</v>
      </c>
      <c r="L59" s="8" t="n">
        <f aca="false">C59*0.4+(1-B59/100)*30+I59/50</f>
        <v>17.24</v>
      </c>
      <c r="M59" s="8" t="s">
        <v>77</v>
      </c>
      <c r="N59" s="11" t="n">
        <v>1</v>
      </c>
    </row>
    <row r="60" customFormat="false" ht="15" hidden="false" customHeight="true" outlineLevel="0" collapsed="false">
      <c r="A60" s="6" t="s">
        <v>89</v>
      </c>
      <c r="B60" s="6" t="n">
        <v>70.9</v>
      </c>
      <c r="C60" s="6" t="n">
        <v>17.3</v>
      </c>
      <c r="D60" s="6" t="n">
        <v>11.5</v>
      </c>
      <c r="E60" s="6" t="n">
        <v>0.3</v>
      </c>
      <c r="F60" s="6" t="n">
        <v>24400</v>
      </c>
      <c r="G60" s="6" t="n">
        <v>33.8</v>
      </c>
      <c r="H60" s="6" t="n">
        <v>1880</v>
      </c>
      <c r="I60" s="6" t="n">
        <v>91</v>
      </c>
      <c r="J60" s="6" t="n">
        <f aca="false">F60-H60</f>
        <v>22520</v>
      </c>
      <c r="K60" s="6" t="n">
        <f aca="false">H60/F60*100</f>
        <v>7.70491803278689</v>
      </c>
      <c r="L60" s="6" t="n">
        <f aca="false">C60*0.4+(1-B60/100)*30+I60/50</f>
        <v>17.47</v>
      </c>
      <c r="M60" s="6" t="s">
        <v>77</v>
      </c>
      <c r="N60" s="11" t="n">
        <v>1</v>
      </c>
    </row>
    <row r="61" customFormat="false" ht="15" hidden="false" customHeight="true" outlineLevel="0" collapsed="false">
      <c r="A61" s="8" t="s">
        <v>90</v>
      </c>
      <c r="B61" s="8" t="n">
        <v>68.1</v>
      </c>
      <c r="C61" s="8" t="n">
        <v>20.8</v>
      </c>
      <c r="D61" s="8" t="n">
        <v>10.8</v>
      </c>
      <c r="E61" s="8" t="n">
        <v>0.3</v>
      </c>
      <c r="F61" s="8" t="n">
        <v>25100</v>
      </c>
      <c r="G61" s="8" t="n">
        <v>34.5</v>
      </c>
      <c r="H61" s="8" t="n">
        <v>1900</v>
      </c>
      <c r="I61" s="8" t="n">
        <v>95</v>
      </c>
      <c r="J61" s="8" t="n">
        <f aca="false">F61-H61</f>
        <v>23200</v>
      </c>
      <c r="K61" s="8" t="n">
        <f aca="false">H61/F61*100</f>
        <v>7.56972111553785</v>
      </c>
      <c r="L61" s="8" t="n">
        <f aca="false">C61*0.4+(1-B61/100)*30+I61/50</f>
        <v>19.79</v>
      </c>
      <c r="M61" s="8" t="s">
        <v>77</v>
      </c>
      <c r="N61" s="11" t="n">
        <v>1</v>
      </c>
    </row>
    <row r="62" customFormat="false" ht="15" hidden="false" customHeight="true" outlineLevel="0" collapsed="false">
      <c r="A62" s="6" t="s">
        <v>91</v>
      </c>
      <c r="B62" s="6" t="n">
        <v>68.3</v>
      </c>
      <c r="C62" s="6" t="n">
        <v>20.7</v>
      </c>
      <c r="D62" s="6" t="n">
        <v>10.7</v>
      </c>
      <c r="E62" s="6" t="n">
        <v>0.3</v>
      </c>
      <c r="F62" s="6" t="n">
        <v>25000</v>
      </c>
      <c r="G62" s="6" t="n">
        <v>34.8</v>
      </c>
      <c r="H62" s="6" t="n">
        <v>1910</v>
      </c>
      <c r="I62" s="6" t="n">
        <v>93</v>
      </c>
      <c r="J62" s="6" t="n">
        <f aca="false">F62-H62</f>
        <v>23090</v>
      </c>
      <c r="K62" s="6" t="n">
        <f aca="false">H62/F62*100</f>
        <v>7.64</v>
      </c>
      <c r="L62" s="6" t="n">
        <f aca="false">C62*0.4+(1-B62/100)*30+I62/50</f>
        <v>19.65</v>
      </c>
      <c r="M62" s="6" t="s">
        <v>77</v>
      </c>
      <c r="N62" s="11" t="n">
        <v>1</v>
      </c>
    </row>
    <row r="63" customFormat="false" ht="15" hidden="false" customHeight="true" outlineLevel="0" collapsed="false">
      <c r="A63" s="8" t="s">
        <v>92</v>
      </c>
      <c r="B63" s="8" t="n">
        <v>68.4</v>
      </c>
      <c r="C63" s="8" t="n">
        <v>20.6</v>
      </c>
      <c r="D63" s="8" t="n">
        <v>10.6</v>
      </c>
      <c r="E63" s="8" t="n">
        <v>0.4</v>
      </c>
      <c r="F63" s="8" t="n">
        <v>24900</v>
      </c>
      <c r="G63" s="8" t="n">
        <v>35</v>
      </c>
      <c r="H63" s="8" t="n">
        <v>1920</v>
      </c>
      <c r="I63" s="8" t="n">
        <v>91</v>
      </c>
      <c r="J63" s="8" t="n">
        <f aca="false">F63-H63</f>
        <v>22980</v>
      </c>
      <c r="K63" s="8" t="n">
        <f aca="false">H63/F63*100</f>
        <v>7.71084337349398</v>
      </c>
      <c r="L63" s="8" t="n">
        <f aca="false">C63*0.4+(1-B63/100)*30+I63/50</f>
        <v>19.54</v>
      </c>
      <c r="M63" s="8" t="s">
        <v>77</v>
      </c>
      <c r="N63" s="11" t="n">
        <v>1</v>
      </c>
    </row>
    <row r="64" customFormat="false" ht="15" hidden="false" customHeight="true" outlineLevel="0" collapsed="false">
      <c r="A64" s="6" t="s">
        <v>93</v>
      </c>
      <c r="B64" s="6" t="n">
        <v>68.2</v>
      </c>
      <c r="C64" s="6" t="n">
        <v>20.8</v>
      </c>
      <c r="D64" s="6" t="n">
        <v>10.8</v>
      </c>
      <c r="E64" s="6" t="n">
        <v>0.2</v>
      </c>
      <c r="F64" s="6" t="n">
        <v>24800</v>
      </c>
      <c r="G64" s="6" t="n">
        <v>34.7</v>
      </c>
      <c r="H64" s="6" t="n">
        <v>1905</v>
      </c>
      <c r="I64" s="6" t="n">
        <v>92</v>
      </c>
      <c r="J64" s="6" t="n">
        <f aca="false">F64-H64</f>
        <v>22895</v>
      </c>
      <c r="K64" s="6" t="n">
        <f aca="false">H64/F64*100</f>
        <v>7.68145161290323</v>
      </c>
      <c r="L64" s="6" t="n">
        <f aca="false">C64*0.4+(1-B64/100)*30+I64/50</f>
        <v>19.7</v>
      </c>
      <c r="M64" s="6" t="s">
        <v>77</v>
      </c>
      <c r="N64" s="11" t="n">
        <v>1</v>
      </c>
    </row>
    <row r="65" customFormat="false" ht="15" hidden="false" customHeight="true" outlineLevel="0" collapsed="false">
      <c r="A65" s="8" t="s">
        <v>94</v>
      </c>
      <c r="B65" s="8" t="n">
        <v>66.4</v>
      </c>
      <c r="C65" s="8" t="n">
        <v>19.9</v>
      </c>
      <c r="D65" s="8" t="n">
        <v>13.4</v>
      </c>
      <c r="E65" s="8" t="n">
        <v>0.3</v>
      </c>
      <c r="F65" s="8" t="n">
        <v>25500</v>
      </c>
      <c r="G65" s="8" t="n">
        <v>35</v>
      </c>
      <c r="H65" s="8" t="n">
        <v>1930</v>
      </c>
      <c r="I65" s="8" t="n">
        <v>100</v>
      </c>
      <c r="J65" s="8" t="n">
        <f aca="false">F65-H65</f>
        <v>23570</v>
      </c>
      <c r="K65" s="8" t="n">
        <f aca="false">H65/F65*100</f>
        <v>7.56862745098039</v>
      </c>
      <c r="L65" s="8" t="n">
        <f aca="false">C65*0.4+(1-B65/100)*30+I65/50</f>
        <v>20.04</v>
      </c>
      <c r="M65" s="8" t="s">
        <v>30</v>
      </c>
      <c r="N65" s="11" t="n">
        <v>1</v>
      </c>
    </row>
    <row r="66" customFormat="false" ht="15" hidden="false" customHeight="true" outlineLevel="0" collapsed="false">
      <c r="A66" s="6" t="s">
        <v>95</v>
      </c>
      <c r="B66" s="6" t="n">
        <v>66.5</v>
      </c>
      <c r="C66" s="6" t="n">
        <v>19.8</v>
      </c>
      <c r="D66" s="6" t="n">
        <v>13.3</v>
      </c>
      <c r="E66" s="6" t="n">
        <v>0.4</v>
      </c>
      <c r="F66" s="6" t="n">
        <v>25600</v>
      </c>
      <c r="G66" s="6" t="n">
        <v>35.2</v>
      </c>
      <c r="H66" s="6" t="n">
        <v>1940</v>
      </c>
      <c r="I66" s="6" t="n">
        <v>99</v>
      </c>
      <c r="J66" s="6" t="n">
        <f aca="false">F66-H66</f>
        <v>23660</v>
      </c>
      <c r="K66" s="6" t="n">
        <f aca="false">H66/F66*100</f>
        <v>7.578125</v>
      </c>
      <c r="L66" s="6" t="n">
        <f aca="false">C66*0.4+(1-B66/100)*30+I66/50</f>
        <v>19.95</v>
      </c>
      <c r="M66" s="6" t="s">
        <v>30</v>
      </c>
      <c r="N66" s="11" t="n">
        <v>1</v>
      </c>
    </row>
    <row r="67" customFormat="false" ht="15" hidden="false" customHeight="true" outlineLevel="0" collapsed="false">
      <c r="A67" s="8" t="s">
        <v>96</v>
      </c>
      <c r="B67" s="8" t="n">
        <v>66.6</v>
      </c>
      <c r="C67" s="8" t="n">
        <v>19.7</v>
      </c>
      <c r="D67" s="8" t="n">
        <v>13.2</v>
      </c>
      <c r="E67" s="8" t="n">
        <v>0.5</v>
      </c>
      <c r="F67" s="8" t="n">
        <v>25700</v>
      </c>
      <c r="G67" s="8" t="n">
        <v>35.4</v>
      </c>
      <c r="H67" s="8" t="n">
        <v>1945</v>
      </c>
      <c r="I67" s="8" t="n">
        <v>98</v>
      </c>
      <c r="J67" s="8" t="n">
        <f aca="false">F67-H67</f>
        <v>23755</v>
      </c>
      <c r="K67" s="8" t="n">
        <f aca="false">H67/F67*100</f>
        <v>7.56809338521401</v>
      </c>
      <c r="L67" s="8" t="n">
        <f aca="false">C67*0.4+(1-B67/100)*30+I67/50</f>
        <v>19.86</v>
      </c>
      <c r="M67" s="8" t="s">
        <v>30</v>
      </c>
      <c r="N67" s="11" t="n">
        <v>1</v>
      </c>
    </row>
    <row r="68" customFormat="false" ht="15" hidden="false" customHeight="true" outlineLevel="0" collapsed="false">
      <c r="A68" s="6" t="s">
        <v>97</v>
      </c>
      <c r="B68" s="6" t="n">
        <v>66.7</v>
      </c>
      <c r="C68" s="6" t="n">
        <v>19.8</v>
      </c>
      <c r="D68" s="6" t="n">
        <v>13.3</v>
      </c>
      <c r="E68" s="6" t="n">
        <v>0.2</v>
      </c>
      <c r="F68" s="6" t="n">
        <v>25800</v>
      </c>
      <c r="G68" s="6" t="n">
        <v>35.3</v>
      </c>
      <c r="H68" s="6" t="n">
        <v>1948</v>
      </c>
      <c r="I68" s="6" t="n">
        <v>99</v>
      </c>
      <c r="J68" s="6" t="n">
        <f aca="false">F68-H68</f>
        <v>23852</v>
      </c>
      <c r="K68" s="6" t="n">
        <f aca="false">H68/F68*100</f>
        <v>7.55038759689923</v>
      </c>
      <c r="L68" s="6" t="n">
        <f aca="false">C68*0.4+(1-B68/100)*30+I68/50</f>
        <v>19.89</v>
      </c>
      <c r="M68" s="6" t="s">
        <v>30</v>
      </c>
      <c r="N68" s="11" t="n">
        <v>1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24"/>
    <col collapsed="false" customWidth="true" hidden="false" outlineLevel="0" max="6" min="6" style="1" width="28"/>
    <col collapsed="false" customWidth="true" hidden="false" outlineLevel="0" max="7" min="7" style="1" width="34"/>
  </cols>
  <sheetData>
    <row r="1" customFormat="false" ht="30" hidden="false" customHeight="true" outlineLevel="0" collapsed="false">
      <c r="A1" s="2" t="s">
        <v>98</v>
      </c>
      <c r="B1" s="2"/>
      <c r="C1" s="2"/>
      <c r="D1" s="2"/>
      <c r="E1" s="2"/>
      <c r="F1" s="2"/>
      <c r="G1" s="2"/>
    </row>
    <row r="2" customFormat="false" ht="25.5" hidden="false" customHeight="true" outlineLevel="0" collapsed="false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</row>
    <row r="3" customFormat="false" ht="15" hidden="false" customHeight="true" outlineLevel="0" collapsed="false">
      <c r="A3" s="13" t="s">
        <v>1</v>
      </c>
      <c r="B3" s="13" t="s">
        <v>106</v>
      </c>
      <c r="C3" s="13" t="s">
        <v>15</v>
      </c>
      <c r="D3" s="13" t="s">
        <v>15</v>
      </c>
      <c r="E3" s="13" t="s">
        <v>107</v>
      </c>
      <c r="F3" s="13" t="s">
        <v>108</v>
      </c>
      <c r="G3" s="13" t="s">
        <v>109</v>
      </c>
    </row>
    <row r="4" customFormat="false" ht="15" hidden="false" customHeight="true" outlineLevel="0" collapsed="false">
      <c r="A4" s="14" t="s">
        <v>110</v>
      </c>
      <c r="B4" s="14" t="s">
        <v>16</v>
      </c>
      <c r="C4" s="14" t="s">
        <v>111</v>
      </c>
      <c r="D4" s="14" t="s">
        <v>112</v>
      </c>
      <c r="E4" s="14" t="s">
        <v>113</v>
      </c>
      <c r="F4" s="14" t="s">
        <v>114</v>
      </c>
      <c r="G4" s="14" t="s">
        <v>109</v>
      </c>
    </row>
    <row r="5" customFormat="false" ht="15" hidden="false" customHeight="true" outlineLevel="0" collapsed="false">
      <c r="A5" s="13" t="s">
        <v>115</v>
      </c>
      <c r="B5" s="13" t="s">
        <v>17</v>
      </c>
      <c r="C5" s="13" t="s">
        <v>111</v>
      </c>
      <c r="D5" s="13" t="s">
        <v>112</v>
      </c>
      <c r="E5" s="13" t="s">
        <v>113</v>
      </c>
      <c r="F5" s="13" t="s">
        <v>116</v>
      </c>
      <c r="G5" s="13" t="s">
        <v>109</v>
      </c>
    </row>
    <row r="6" customFormat="false" ht="15" hidden="false" customHeight="true" outlineLevel="0" collapsed="false">
      <c r="A6" s="14" t="s">
        <v>117</v>
      </c>
      <c r="B6" s="14" t="s">
        <v>18</v>
      </c>
      <c r="C6" s="14" t="s">
        <v>111</v>
      </c>
      <c r="D6" s="14" t="s">
        <v>112</v>
      </c>
      <c r="E6" s="14" t="s">
        <v>113</v>
      </c>
      <c r="F6" s="14" t="s">
        <v>118</v>
      </c>
      <c r="G6" s="14" t="s">
        <v>109</v>
      </c>
    </row>
    <row r="7" customFormat="false" ht="15" hidden="false" customHeight="true" outlineLevel="0" collapsed="false">
      <c r="A7" s="13" t="s">
        <v>119</v>
      </c>
      <c r="B7" s="13" t="s">
        <v>19</v>
      </c>
      <c r="C7" s="13" t="s">
        <v>111</v>
      </c>
      <c r="D7" s="13" t="s">
        <v>112</v>
      </c>
      <c r="E7" s="13" t="s">
        <v>113</v>
      </c>
      <c r="F7" s="13" t="s">
        <v>120</v>
      </c>
      <c r="G7" s="13" t="s">
        <v>109</v>
      </c>
    </row>
    <row r="8" customFormat="false" ht="15" hidden="false" customHeight="true" outlineLevel="0" collapsed="false">
      <c r="A8" s="14" t="s">
        <v>121</v>
      </c>
      <c r="B8" s="14" t="s">
        <v>20</v>
      </c>
      <c r="C8" s="14" t="s">
        <v>111</v>
      </c>
      <c r="D8" s="14" t="s">
        <v>122</v>
      </c>
      <c r="E8" s="14" t="s">
        <v>123</v>
      </c>
      <c r="F8" s="14" t="s">
        <v>124</v>
      </c>
      <c r="G8" s="14" t="s">
        <v>125</v>
      </c>
    </row>
    <row r="9" customFormat="false" ht="15" hidden="false" customHeight="true" outlineLevel="0" collapsed="false">
      <c r="A9" s="13" t="s">
        <v>126</v>
      </c>
      <c r="B9" s="13" t="s">
        <v>21</v>
      </c>
      <c r="C9" s="13" t="s">
        <v>111</v>
      </c>
      <c r="D9" s="13" t="s">
        <v>112</v>
      </c>
      <c r="E9" s="13" t="s">
        <v>127</v>
      </c>
      <c r="F9" s="13" t="s">
        <v>128</v>
      </c>
      <c r="G9" s="13" t="s">
        <v>109</v>
      </c>
    </row>
    <row r="10" customFormat="false" ht="15" hidden="false" customHeight="true" outlineLevel="0" collapsed="false">
      <c r="A10" s="14" t="s">
        <v>129</v>
      </c>
      <c r="B10" s="14" t="s">
        <v>22</v>
      </c>
      <c r="C10" s="14" t="s">
        <v>111</v>
      </c>
      <c r="D10" s="14" t="s">
        <v>122</v>
      </c>
      <c r="E10" s="14" t="s">
        <v>130</v>
      </c>
      <c r="F10" s="14" t="s">
        <v>131</v>
      </c>
      <c r="G10" s="14" t="s">
        <v>132</v>
      </c>
    </row>
    <row r="11" customFormat="false" ht="15" hidden="false" customHeight="true" outlineLevel="0" collapsed="false">
      <c r="A11" s="13" t="s">
        <v>133</v>
      </c>
      <c r="B11" s="13" t="s">
        <v>23</v>
      </c>
      <c r="C11" s="13" t="s">
        <v>111</v>
      </c>
      <c r="D11" s="13" t="s">
        <v>134</v>
      </c>
      <c r="E11" s="13" t="s">
        <v>135</v>
      </c>
      <c r="F11" s="13" t="s">
        <v>136</v>
      </c>
      <c r="G11" s="13" t="s">
        <v>137</v>
      </c>
    </row>
    <row r="12" customFormat="false" ht="15" hidden="false" customHeight="true" outlineLevel="0" collapsed="false">
      <c r="A12" s="14" t="s">
        <v>138</v>
      </c>
      <c r="B12" s="14" t="s">
        <v>139</v>
      </c>
      <c r="C12" s="14" t="s">
        <v>111</v>
      </c>
      <c r="D12" s="14" t="s">
        <v>122</v>
      </c>
      <c r="E12" s="14" t="s">
        <v>140</v>
      </c>
      <c r="F12" s="14" t="s">
        <v>141</v>
      </c>
      <c r="G12" s="13" t="s">
        <v>142</v>
      </c>
    </row>
    <row r="13" customFormat="false" ht="15" hidden="false" customHeight="true" outlineLevel="0" collapsed="false">
      <c r="A13" s="13" t="s">
        <v>143</v>
      </c>
      <c r="B13" s="13" t="s">
        <v>144</v>
      </c>
      <c r="C13" s="13" t="s">
        <v>111</v>
      </c>
      <c r="D13" s="13" t="s">
        <v>112</v>
      </c>
      <c r="E13" s="13" t="s">
        <v>140</v>
      </c>
      <c r="F13" s="13" t="s">
        <v>145</v>
      </c>
      <c r="G13" s="13" t="s">
        <v>146</v>
      </c>
    </row>
    <row r="14" customFormat="false" ht="15" hidden="false" customHeight="true" outlineLevel="0" collapsed="false">
      <c r="A14" s="14" t="s">
        <v>12</v>
      </c>
      <c r="B14" s="14" t="s">
        <v>147</v>
      </c>
      <c r="C14" s="14" t="s">
        <v>111</v>
      </c>
      <c r="D14" s="14" t="s">
        <v>148</v>
      </c>
      <c r="E14" s="14" t="s">
        <v>140</v>
      </c>
      <c r="F14" s="14" t="s">
        <v>149</v>
      </c>
      <c r="G14" s="13" t="s">
        <v>150</v>
      </c>
    </row>
    <row r="15" customFormat="false" ht="15" hidden="false" customHeight="true" outlineLevel="0" collapsed="false">
      <c r="A15" s="13" t="s">
        <v>13</v>
      </c>
      <c r="B15" s="13" t="s">
        <v>27</v>
      </c>
      <c r="C15" s="13" t="s">
        <v>111</v>
      </c>
      <c r="D15" s="13" t="s">
        <v>151</v>
      </c>
      <c r="E15" s="13" t="s">
        <v>152</v>
      </c>
      <c r="F15" s="13" t="s">
        <v>153</v>
      </c>
      <c r="G15" s="13" t="s">
        <v>154</v>
      </c>
    </row>
    <row r="16" customFormat="false" ht="23.25" hidden="false" customHeight="true" outlineLevel="0" collapsed="false">
      <c r="A16" s="15" t="s">
        <v>155</v>
      </c>
      <c r="B16" s="15" t="s">
        <v>156</v>
      </c>
      <c r="C16" s="15" t="s">
        <v>28</v>
      </c>
      <c r="D16" s="15" t="s">
        <v>157</v>
      </c>
      <c r="E16" s="15" t="s">
        <v>158</v>
      </c>
      <c r="F16" s="15" t="s">
        <v>159</v>
      </c>
      <c r="G16" s="15" t="s">
        <v>160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55"/>
  </cols>
  <sheetData>
    <row r="1" customFormat="false" ht="30" hidden="false" customHeight="true" outlineLevel="0" collapsed="false">
      <c r="A1" s="2" t="s">
        <v>161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16" t="s">
        <v>162</v>
      </c>
      <c r="B2" s="16"/>
      <c r="C2" s="16"/>
      <c r="D2" s="16"/>
      <c r="E2" s="16"/>
      <c r="F2" s="16"/>
      <c r="G2" s="16"/>
      <c r="H2" s="16"/>
    </row>
    <row r="3" customFormat="false" ht="25.5" hidden="false" customHeight="true" outlineLevel="0" collapsed="false">
      <c r="A3" s="3" t="s">
        <v>155</v>
      </c>
      <c r="B3" s="3" t="s">
        <v>163</v>
      </c>
      <c r="C3" s="3" t="s">
        <v>2</v>
      </c>
      <c r="D3" s="3" t="s">
        <v>3</v>
      </c>
      <c r="E3" s="3" t="s">
        <v>164</v>
      </c>
      <c r="F3" s="3" t="s">
        <v>165</v>
      </c>
      <c r="G3" s="3" t="s">
        <v>166</v>
      </c>
      <c r="H3" s="3" t="s">
        <v>167</v>
      </c>
    </row>
    <row r="4" customFormat="false" ht="15" hidden="false" customHeight="true" outlineLevel="0" collapsed="false">
      <c r="A4" s="17" t="n">
        <v>0</v>
      </c>
      <c r="B4" s="17" t="s">
        <v>168</v>
      </c>
      <c r="C4" s="18" t="s">
        <v>169</v>
      </c>
      <c r="D4" s="18" t="s">
        <v>170</v>
      </c>
      <c r="E4" s="18" t="s">
        <v>171</v>
      </c>
      <c r="F4" s="18" t="s">
        <v>172</v>
      </c>
      <c r="G4" s="19" t="s">
        <v>173</v>
      </c>
      <c r="H4" s="20" t="s">
        <v>174</v>
      </c>
    </row>
    <row r="5" customFormat="false" ht="15" hidden="false" customHeight="true" outlineLevel="0" collapsed="false">
      <c r="A5" s="21" t="n">
        <v>1</v>
      </c>
      <c r="B5" s="21" t="s">
        <v>175</v>
      </c>
      <c r="C5" s="22" t="s">
        <v>176</v>
      </c>
      <c r="D5" s="22" t="s">
        <v>177</v>
      </c>
      <c r="E5" s="22" t="s">
        <v>178</v>
      </c>
      <c r="F5" s="22" t="s">
        <v>179</v>
      </c>
      <c r="G5" s="23" t="s">
        <v>173</v>
      </c>
      <c r="H5" s="24" t="s">
        <v>180</v>
      </c>
    </row>
    <row r="6" customFormat="false" ht="15" hidden="false" customHeight="true" outlineLevel="0" collapsed="false">
      <c r="A6" s="25" t="n">
        <v>2</v>
      </c>
      <c r="B6" s="25" t="s">
        <v>181</v>
      </c>
      <c r="C6" s="26" t="s">
        <v>182</v>
      </c>
      <c r="D6" s="26" t="s">
        <v>183</v>
      </c>
      <c r="E6" s="26" t="s">
        <v>184</v>
      </c>
      <c r="F6" s="26" t="s">
        <v>179</v>
      </c>
      <c r="G6" s="27" t="s">
        <v>173</v>
      </c>
      <c r="H6" s="28" t="s">
        <v>185</v>
      </c>
    </row>
    <row r="7" customFormat="false" ht="15" hidden="false" customHeight="true" outlineLevel="0" collapsed="false">
      <c r="A7" s="29" t="n">
        <v>3</v>
      </c>
      <c r="B7" s="29" t="s">
        <v>186</v>
      </c>
      <c r="C7" s="30" t="s">
        <v>187</v>
      </c>
      <c r="D7" s="30" t="s">
        <v>188</v>
      </c>
      <c r="E7" s="30" t="s">
        <v>189</v>
      </c>
      <c r="F7" s="30" t="s">
        <v>179</v>
      </c>
      <c r="G7" s="31" t="s">
        <v>173</v>
      </c>
      <c r="H7" s="32" t="s">
        <v>190</v>
      </c>
    </row>
    <row r="8" customFormat="false" ht="15" hidden="false" customHeight="true" outlineLevel="0" collapsed="false">
      <c r="A8" s="33" t="n">
        <v>4</v>
      </c>
      <c r="B8" s="33" t="s">
        <v>191</v>
      </c>
      <c r="C8" s="34" t="s">
        <v>192</v>
      </c>
      <c r="D8" s="34" t="s">
        <v>193</v>
      </c>
      <c r="E8" s="34" t="s">
        <v>194</v>
      </c>
      <c r="F8" s="34" t="s">
        <v>179</v>
      </c>
      <c r="G8" s="35" t="s">
        <v>173</v>
      </c>
      <c r="H8" s="36" t="s">
        <v>195</v>
      </c>
    </row>
    <row r="9" customFormat="false" ht="15" hidden="false" customHeight="true" outlineLevel="0" collapsed="false">
      <c r="A9" s="37" t="n">
        <v>5</v>
      </c>
      <c r="B9" s="37" t="s">
        <v>196</v>
      </c>
      <c r="C9" s="38" t="s">
        <v>197</v>
      </c>
      <c r="D9" s="38" t="s">
        <v>198</v>
      </c>
      <c r="E9" s="38" t="s">
        <v>199</v>
      </c>
      <c r="F9" s="38" t="s">
        <v>179</v>
      </c>
      <c r="G9" s="39" t="s">
        <v>173</v>
      </c>
      <c r="H9" s="40" t="s">
        <v>200</v>
      </c>
    </row>
    <row r="10" customFormat="false" ht="15" hidden="false" customHeight="true" outlineLevel="0" collapsed="false">
      <c r="A10" s="41" t="n">
        <v>6</v>
      </c>
      <c r="B10" s="41" t="s">
        <v>201</v>
      </c>
      <c r="C10" s="42" t="s">
        <v>202</v>
      </c>
      <c r="D10" s="42" t="s">
        <v>203</v>
      </c>
      <c r="E10" s="42" t="s">
        <v>204</v>
      </c>
      <c r="F10" s="42" t="s">
        <v>179</v>
      </c>
      <c r="G10" s="43" t="s">
        <v>173</v>
      </c>
      <c r="H10" s="44" t="s">
        <v>205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36"/>
  </cols>
  <sheetData>
    <row r="1" customFormat="false" ht="30" hidden="false" customHeight="true" outlineLevel="0" collapsed="false">
      <c r="A1" s="2" t="s">
        <v>206</v>
      </c>
      <c r="B1" s="2"/>
      <c r="C1" s="2"/>
      <c r="D1" s="2"/>
      <c r="E1" s="2"/>
    </row>
    <row r="2" customFormat="false" ht="15" hidden="false" customHeight="true" outlineLevel="0" collapsed="false">
      <c r="A2" s="16" t="s">
        <v>207</v>
      </c>
      <c r="B2" s="16"/>
      <c r="C2" s="16"/>
      <c r="D2" s="16"/>
      <c r="E2" s="16"/>
    </row>
    <row r="3" customFormat="false" ht="25.5" hidden="false" customHeight="true" outlineLevel="0" collapsed="false">
      <c r="A3" s="3" t="s">
        <v>155</v>
      </c>
      <c r="B3" s="3" t="s">
        <v>163</v>
      </c>
      <c r="C3" s="3" t="s">
        <v>208</v>
      </c>
      <c r="D3" s="3" t="s">
        <v>209</v>
      </c>
      <c r="E3" s="3" t="s">
        <v>210</v>
      </c>
    </row>
    <row r="4" customFormat="false" ht="15" hidden="false" customHeight="true" outlineLevel="0" collapsed="false">
      <c r="A4" s="17" t="n">
        <v>0</v>
      </c>
      <c r="B4" s="17" t="s">
        <v>168</v>
      </c>
      <c r="C4" s="18" t="n">
        <v>0</v>
      </c>
      <c r="D4" s="18" t="s">
        <v>211</v>
      </c>
      <c r="E4" s="20" t="s">
        <v>212</v>
      </c>
    </row>
    <row r="5" customFormat="false" ht="15" hidden="false" customHeight="true" outlineLevel="0" collapsed="false">
      <c r="A5" s="21" t="n">
        <v>1</v>
      </c>
      <c r="B5" s="21" t="s">
        <v>175</v>
      </c>
      <c r="C5" s="22" t="n">
        <v>38</v>
      </c>
      <c r="D5" s="22" t="s">
        <v>213</v>
      </c>
      <c r="E5" s="24" t="s">
        <v>212</v>
      </c>
    </row>
    <row r="6" customFormat="false" ht="15" hidden="false" customHeight="true" outlineLevel="0" collapsed="false">
      <c r="A6" s="25" t="n">
        <v>2</v>
      </c>
      <c r="B6" s="25" t="s">
        <v>181</v>
      </c>
      <c r="C6" s="26" t="n">
        <v>4</v>
      </c>
      <c r="D6" s="26" t="s">
        <v>214</v>
      </c>
      <c r="E6" s="28" t="s">
        <v>215</v>
      </c>
    </row>
    <row r="7" customFormat="false" ht="15" hidden="false" customHeight="true" outlineLevel="0" collapsed="false">
      <c r="A7" s="29" t="n">
        <v>3</v>
      </c>
      <c r="B7" s="29" t="s">
        <v>186</v>
      </c>
      <c r="C7" s="30" t="n">
        <v>7</v>
      </c>
      <c r="D7" s="30" t="s">
        <v>216</v>
      </c>
      <c r="E7" s="32" t="s">
        <v>215</v>
      </c>
    </row>
    <row r="8" customFormat="false" ht="15" hidden="false" customHeight="true" outlineLevel="0" collapsed="false">
      <c r="A8" s="33" t="n">
        <v>4</v>
      </c>
      <c r="B8" s="33" t="s">
        <v>191</v>
      </c>
      <c r="C8" s="34" t="n">
        <v>4</v>
      </c>
      <c r="D8" s="34" t="s">
        <v>214</v>
      </c>
      <c r="E8" s="36" t="s">
        <v>217</v>
      </c>
    </row>
    <row r="9" customFormat="false" ht="15" hidden="false" customHeight="true" outlineLevel="0" collapsed="false">
      <c r="A9" s="37" t="n">
        <v>5</v>
      </c>
      <c r="B9" s="37" t="s">
        <v>196</v>
      </c>
      <c r="C9" s="38" t="n">
        <v>8</v>
      </c>
      <c r="D9" s="38" t="s">
        <v>218</v>
      </c>
      <c r="E9" s="40" t="s">
        <v>217</v>
      </c>
    </row>
    <row r="10" customFormat="false" ht="15" hidden="false" customHeight="true" outlineLevel="0" collapsed="false">
      <c r="A10" s="41" t="n">
        <v>6</v>
      </c>
      <c r="B10" s="41" t="s">
        <v>201</v>
      </c>
      <c r="C10" s="42" t="n">
        <v>4</v>
      </c>
      <c r="D10" s="42" t="s">
        <v>214</v>
      </c>
      <c r="E10" s="44" t="s">
        <v>217</v>
      </c>
    </row>
    <row r="11" customFormat="false" ht="15" hidden="false" customHeight="true" outlineLevel="0" collapsed="false">
      <c r="A11" s="3" t="s">
        <v>219</v>
      </c>
      <c r="B11" s="3"/>
      <c r="C11" s="3" t="n">
        <v>65</v>
      </c>
      <c r="D11" s="3" t="s">
        <v>220</v>
      </c>
      <c r="E11" s="3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2026-08-09T10:25:28Z</dcterms:created>
  <dc:creator>openpyxl</dc:creator>
  <dc:description/>
  <dc:language>en-US</dc:language>
  <cp:lastModifiedBy/>
  <dcterms:modified xsi:type="dcterms:W3CDTF">2026-08-09T10:26:17Z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